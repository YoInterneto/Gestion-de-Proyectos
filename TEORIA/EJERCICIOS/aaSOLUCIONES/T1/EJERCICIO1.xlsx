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o\OneDrive\Documentos\GitHub\Gestion-de-Proyectos\TEORIA\EJERCICIOS\aaSOLUCIONES\T1\"/>
    </mc:Choice>
  </mc:AlternateContent>
  <xr:revisionPtr revIDLastSave="65" documentId="8_{2A4DA748-C8C6-474D-96CC-759CBAF884D0}" xr6:coauthVersionLast="44" xr6:coauthVersionMax="44" xr10:uidLastSave="{017B6973-5CE7-4AA0-8161-F4B704933A7F}"/>
  <bookViews>
    <workbookView minimized="1" xWindow="3225" yWindow="2190" windowWidth="21600" windowHeight="11385" xr2:uid="{6EE91F74-3E7F-478C-956B-D391615056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1" i="1" l="1"/>
  <c r="C5" i="1"/>
  <c r="C4" i="1"/>
  <c r="C3" i="1"/>
  <c r="H27" i="1"/>
  <c r="J15" i="1" l="1"/>
  <c r="L25" i="1" l="1"/>
  <c r="K25" i="1"/>
  <c r="J25" i="1"/>
  <c r="I25" i="1"/>
  <c r="H25" i="1"/>
  <c r="L9" i="1"/>
  <c r="K9" i="1"/>
  <c r="J9" i="1"/>
  <c r="I9" i="1"/>
  <c r="L8" i="1"/>
  <c r="K8" i="1"/>
  <c r="J8" i="1"/>
  <c r="I8" i="1"/>
  <c r="I10" i="1" s="1"/>
  <c r="I15" i="1" s="1"/>
  <c r="I16" i="1" s="1"/>
  <c r="I18" i="1" s="1"/>
  <c r="I19" i="1" s="1"/>
  <c r="H8" i="1"/>
  <c r="H10" i="1" s="1"/>
  <c r="H15" i="1" s="1"/>
  <c r="J10" i="1" l="1"/>
  <c r="K10" i="1"/>
  <c r="K15" i="1" s="1"/>
  <c r="L10" i="1"/>
  <c r="L15" i="1" s="1"/>
  <c r="L16" i="1" s="1"/>
  <c r="L18" i="1" s="1"/>
  <c r="L19" i="1" s="1"/>
  <c r="L21" i="1" s="1"/>
  <c r="H19" i="1"/>
  <c r="H16" i="1"/>
  <c r="K16" i="1"/>
  <c r="K18" i="1" s="1"/>
  <c r="K19" i="1"/>
  <c r="K21" i="1" s="1"/>
  <c r="J16" i="1"/>
  <c r="J18" i="1" s="1"/>
  <c r="J19" i="1" s="1"/>
  <c r="J21" i="1" s="1"/>
  <c r="L27" i="1" l="1"/>
  <c r="H21" i="1"/>
  <c r="K27" i="1"/>
  <c r="I27" i="1"/>
  <c r="J27" i="1"/>
  <c r="K23" i="1" l="1"/>
  <c r="H23" i="1"/>
  <c r="L23" i="1"/>
  <c r="I23" i="1"/>
  <c r="J23" i="1"/>
  <c r="D18" i="1" l="1"/>
  <c r="D19" i="1"/>
</calcChain>
</file>

<file path=xl/sharedStrings.xml><?xml version="1.0" encoding="utf-8"?>
<sst xmlns="http://schemas.openxmlformats.org/spreadsheetml/2006/main" count="44" uniqueCount="44">
  <si>
    <t>Año 1</t>
  </si>
  <si>
    <t>Año 2</t>
  </si>
  <si>
    <t>Año 3</t>
  </si>
  <si>
    <t>Año 4</t>
  </si>
  <si>
    <t>Año 5</t>
  </si>
  <si>
    <t>Inversión (IV)</t>
  </si>
  <si>
    <t>Costes producción (CP)</t>
  </si>
  <si>
    <t>Para las amortizaciones tenemos que dividir la inversión por el número de años que quedan para recuperarla</t>
  </si>
  <si>
    <t>Año 1 (quedan 5 años) = 1400/5 = 280€/año</t>
  </si>
  <si>
    <t>Año 2 (quedan 4 años) = 500/4 = 125€/año</t>
  </si>
  <si>
    <t>Amortización 1400</t>
  </si>
  <si>
    <t>Amortización 500</t>
  </si>
  <si>
    <t>Amortización total (A)</t>
  </si>
  <si>
    <t>Para los beneficios tenemos que ver el precio del producto y las unidades vendidas</t>
  </si>
  <si>
    <t>Año 2 = 5 unidades * 200€/unidad = 1000€</t>
  </si>
  <si>
    <t>Año 3,4,5 = 20 unidades * 200€/unidad = 4000€</t>
  </si>
  <si>
    <t>Ingresos (I)</t>
  </si>
  <si>
    <t>Gastos (G) = (CP + A)</t>
  </si>
  <si>
    <t>Beneficios brutos (I - G)</t>
  </si>
  <si>
    <t>Para los impuestos aplicamos la tasa anual por año, solo teniendo en cuenta los años en los que el beneficio bruto &gt; 0</t>
  </si>
  <si>
    <t>Impuestos (T)</t>
  </si>
  <si>
    <t>Gastos + Impuestos</t>
  </si>
  <si>
    <t>Para calcular los beneficios netos restamos los ingresos a los gastos + impuestos</t>
  </si>
  <si>
    <t>Beneficios netos</t>
  </si>
  <si>
    <t>Para calcular los beneficios vamos sumando al año en curso los beneficios del anterior</t>
  </si>
  <si>
    <t>Beneficio acumulado</t>
  </si>
  <si>
    <t>Para los ingresos acumulados lo mismo, pero con los ingresos</t>
  </si>
  <si>
    <t>Ingresos acumulados</t>
  </si>
  <si>
    <t>Para los gastos acumulados lo mismo, pero con los gastos + impuestos</t>
  </si>
  <si>
    <t>Gastos acumulados</t>
  </si>
  <si>
    <t>BET</t>
  </si>
  <si>
    <t>DIAS</t>
  </si>
  <si>
    <t>MESES</t>
  </si>
  <si>
    <t>AÑOS</t>
  </si>
  <si>
    <t xml:space="preserve">Para hacer el BET miramos el año en el cual empieza a haber ingresos y cogemos el año que perdemos dinero y el primer año que ganamos (miramos beneficios acumulados). </t>
  </si>
  <si>
    <t>CIFRA DE            EQUILIBRIO</t>
  </si>
  <si>
    <t>INGRESOS</t>
  </si>
  <si>
    <t>GASTOS</t>
  </si>
  <si>
    <t>Para calcular la cifra de equilibrio cogemos los mismo años que hemos cogido en el BET, y de esos años cogemos los ingresos y los gastos acumulados</t>
  </si>
  <si>
    <t>IAequilibrio = (BET - Xaños) * (IA_AÑO&gt;0 - IA_AÑO&lt;0) + IA_AÑO&lt;0</t>
  </si>
  <si>
    <t>GAequilibrio = (BET - Xaños) * (GA_AÑO&gt;0 - GA_AÑO&lt;0) + GA_AÑO&lt;0</t>
  </si>
  <si>
    <t>IA_2año -&gt; 1000      IA_3año -&gt; 5000                                                               GA_2año -&gt; 1004    GA_3año -&gt; 2928                                                                      Con lo que hacemos lo siguiente:</t>
  </si>
  <si>
    <r>
      <rPr>
        <b/>
        <sz val="11"/>
        <color theme="1"/>
        <rFont val="Calibri"/>
        <family val="2"/>
        <scheme val="minor"/>
      </rPr>
      <t>BET = (-BA_AÑO&lt;0 * 365)/(BA_AÑO&gt;0 - BA_AÑO&lt;0) + 2 * 365</t>
    </r>
    <r>
      <rPr>
        <sz val="11"/>
        <color theme="1"/>
        <rFont val="Calibri"/>
        <family val="2"/>
        <scheme val="minor"/>
      </rPr>
      <t xml:space="preserve">                     Esto nos da el BET en dias y lo pasamos a años y meses</t>
    </r>
  </si>
  <si>
    <t>BA_1año -&gt; 0   BA_2año -&gt; -4  BA_3año -&gt; 2072                                                    Xaños = años que has estado en negativo                                                          Con lo cual cogemos 2 y 3 año y hacemos lo siguiente: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</si>
</sst>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auto="1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auto="1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auto="1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Border="1"/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7" xfId="0" applyBorder="1"/>
    <xf numFmtId="0" fontId="0" fillId="0" borderId="18" xfId="0" applyBorder="1"/>
    <xf numFmtId="0" fontId="0" fillId="0" borderId="15" xfId="0" applyFont="1" applyBorder="1"/>
    <xf numFmtId="0" fontId="0" fillId="0" borderId="16" xfId="0" applyBorder="1"/>
    <xf numFmtId="0" fontId="0" fillId="0" borderId="15" xfId="0" applyBorder="1"/>
    <xf numFmtId="0" fontId="1" fillId="0" borderId="1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4" borderId="23" xfId="0" applyFont="1" applyFill="1" applyBorder="1" applyAlignment="1">
      <alignment horizontal="center" vertical="top" wrapText="1"/>
    </xf>
    <xf numFmtId="0" fontId="0" fillId="4" borderId="24" xfId="0" applyFill="1" applyBorder="1" applyAlignment="1">
      <alignment horizontal="center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3" borderId="4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1" fillId="4" borderId="22" xfId="0" applyFont="1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3" borderId="12" xfId="0" applyFill="1" applyBorder="1" applyAlignment="1">
      <alignment horizontal="justify" vertical="center" wrapText="1"/>
    </xf>
    <xf numFmtId="0" fontId="0" fillId="3" borderId="13" xfId="0" applyFill="1" applyBorder="1" applyAlignment="1">
      <alignment horizontal="justify" vertical="center" wrapText="1"/>
    </xf>
    <xf numFmtId="0" fontId="0" fillId="3" borderId="14" xfId="0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609600</xdr:colOff>
      <xdr:row>6</xdr:row>
      <xdr:rowOff>152399</xdr:rowOff>
    </xdr:from>
    <xdr:to>
      <xdr:col>19</xdr:col>
      <xdr:colOff>377686</xdr:colOff>
      <xdr:row>18</xdr:row>
      <xdr:rowOff>123824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488446-D42C-4FCC-8F0C-56D0A6222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9950" y="1504949"/>
          <a:ext cx="5006836" cy="263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6DB2-7028-49E4-8D87-762665CEE082}">
  <dimension ref="B1:V28"/>
  <sheetViews>
    <sheetView tabSelected="1" topLeftCell="A4" workbookViewId="0">
      <selection activeCell="F5" sqref="F5"/>
    </sheetView>
  </sheetViews>
  <sheetFormatPr baseColWidth="10" defaultRowHeight="15" x14ac:dyDescent="0.25"/>
  <cols>
    <col min="1" max="1" width="11.42578125" customWidth="1"/>
    <col min="2" max="2" width="18" customWidth="1"/>
    <col min="3" max="3" width="11.42578125" customWidth="1"/>
    <col min="5" max="5" width="22.85546875" customWidth="1"/>
    <col min="7" max="7" width="30.5703125" customWidth="1"/>
    <col min="17" max="17" width="10" customWidth="1"/>
    <col min="20" max="20" width="11.42578125" customWidth="1"/>
    <col min="21" max="21" width="21.85546875" customWidth="1"/>
    <col min="22" max="22" width="11.42578125" customWidth="1"/>
  </cols>
  <sheetData>
    <row r="1" spans="2:22" ht="15.75" thickBot="1" x14ac:dyDescent="0.3"/>
    <row r="2" spans="2:22" ht="15.75" thickBot="1" x14ac:dyDescent="0.3">
      <c r="B2" s="18"/>
      <c r="C2" s="46" t="s">
        <v>30</v>
      </c>
      <c r="D2" s="47"/>
      <c r="E2" s="19"/>
      <c r="G2" s="5"/>
      <c r="H2" s="6" t="s">
        <v>0</v>
      </c>
      <c r="I2" s="7" t="s">
        <v>1</v>
      </c>
      <c r="J2" s="7" t="s">
        <v>2</v>
      </c>
      <c r="K2" s="7" t="s">
        <v>3</v>
      </c>
      <c r="L2" s="8" t="s">
        <v>4</v>
      </c>
    </row>
    <row r="3" spans="2:22" x14ac:dyDescent="0.25">
      <c r="B3" s="20"/>
      <c r="C3" s="12">
        <f>((-(I23) * 365)/(J23-(I23))) + 2 * 365</f>
        <v>730.7032755298651</v>
      </c>
      <c r="D3" s="12" t="s">
        <v>31</v>
      </c>
      <c r="E3" s="21"/>
      <c r="G3" s="9" t="s">
        <v>5</v>
      </c>
      <c r="H3" s="1">
        <v>1400</v>
      </c>
      <c r="I3" s="1">
        <v>500</v>
      </c>
      <c r="J3" s="1">
        <v>0</v>
      </c>
      <c r="K3" s="1">
        <v>0</v>
      </c>
      <c r="L3" s="2">
        <v>0</v>
      </c>
    </row>
    <row r="4" spans="2:22" x14ac:dyDescent="0.25">
      <c r="B4" s="22"/>
      <c r="C4" s="12">
        <f>C3 / 30.42</f>
        <v>24.020489004926532</v>
      </c>
      <c r="D4" s="12" t="s">
        <v>32</v>
      </c>
      <c r="E4" s="21"/>
      <c r="G4" s="10" t="s">
        <v>6</v>
      </c>
      <c r="H4" s="1">
        <v>0</v>
      </c>
      <c r="I4" s="1">
        <v>250</v>
      </c>
      <c r="J4" s="1">
        <v>1000</v>
      </c>
      <c r="K4" s="1">
        <v>1000</v>
      </c>
      <c r="L4" s="2">
        <v>1000</v>
      </c>
    </row>
    <row r="5" spans="2:22" ht="30" customHeight="1" x14ac:dyDescent="0.25">
      <c r="B5" s="22"/>
      <c r="C5" s="12">
        <f xml:space="preserve"> C4 / 12</f>
        <v>2.0017074170772111</v>
      </c>
      <c r="D5" s="12" t="s">
        <v>33</v>
      </c>
      <c r="E5" s="21"/>
      <c r="G5" s="48" t="s">
        <v>7</v>
      </c>
      <c r="H5" s="49"/>
      <c r="I5" s="49"/>
      <c r="J5" s="49"/>
      <c r="K5" s="49"/>
      <c r="L5" s="50"/>
    </row>
    <row r="6" spans="2:22" ht="15" customHeight="1" x14ac:dyDescent="0.25">
      <c r="B6" s="31" t="s">
        <v>34</v>
      </c>
      <c r="C6" s="32"/>
      <c r="D6" s="32"/>
      <c r="E6" s="33"/>
      <c r="G6" s="48" t="s">
        <v>8</v>
      </c>
      <c r="H6" s="49"/>
      <c r="I6" s="49"/>
      <c r="J6" s="49"/>
      <c r="K6" s="49"/>
      <c r="L6" s="50"/>
      <c r="V6" s="13"/>
    </row>
    <row r="7" spans="2:22" ht="15" customHeight="1" x14ac:dyDescent="0.25">
      <c r="B7" s="31"/>
      <c r="C7" s="32"/>
      <c r="D7" s="32"/>
      <c r="E7" s="33"/>
      <c r="G7" s="48" t="s">
        <v>9</v>
      </c>
      <c r="H7" s="49"/>
      <c r="I7" s="49"/>
      <c r="J7" s="49"/>
      <c r="K7" s="49"/>
      <c r="L7" s="50"/>
      <c r="V7" s="13"/>
    </row>
    <row r="8" spans="2:22" x14ac:dyDescent="0.25">
      <c r="B8" s="31"/>
      <c r="C8" s="32"/>
      <c r="D8" s="32"/>
      <c r="E8" s="33"/>
      <c r="G8" s="10" t="s">
        <v>10</v>
      </c>
      <c r="H8" s="1">
        <f>(H3/5)</f>
        <v>280</v>
      </c>
      <c r="I8" s="1">
        <f>(H3/5)</f>
        <v>280</v>
      </c>
      <c r="J8" s="1">
        <f>(H3/5)</f>
        <v>280</v>
      </c>
      <c r="K8" s="1">
        <f>(H3/5)</f>
        <v>280</v>
      </c>
      <c r="L8" s="2">
        <f>(H3/5)</f>
        <v>280</v>
      </c>
      <c r="V8" s="13"/>
    </row>
    <row r="9" spans="2:22" x14ac:dyDescent="0.25">
      <c r="B9" s="31"/>
      <c r="C9" s="32"/>
      <c r="D9" s="32"/>
      <c r="E9" s="33"/>
      <c r="G9" s="10" t="s">
        <v>11</v>
      </c>
      <c r="H9" s="1">
        <v>0</v>
      </c>
      <c r="I9" s="1">
        <f>(I3/4)</f>
        <v>125</v>
      </c>
      <c r="J9" s="1">
        <f>(I3/4)</f>
        <v>125</v>
      </c>
      <c r="K9" s="1">
        <f>(I3/4)</f>
        <v>125</v>
      </c>
      <c r="L9" s="2">
        <f>(I3/4)</f>
        <v>125</v>
      </c>
      <c r="V9" s="13"/>
    </row>
    <row r="10" spans="2:22" x14ac:dyDescent="0.25">
      <c r="B10" s="31" t="s">
        <v>43</v>
      </c>
      <c r="C10" s="32"/>
      <c r="D10" s="32"/>
      <c r="E10" s="33"/>
      <c r="G10" s="10" t="s">
        <v>12</v>
      </c>
      <c r="H10" s="1">
        <f>SUM(H8,H9)</f>
        <v>280</v>
      </c>
      <c r="I10" s="1">
        <f>SUM(I8,I9)</f>
        <v>405</v>
      </c>
      <c r="J10" s="1">
        <f>SUM(J8,J9)</f>
        <v>405</v>
      </c>
      <c r="K10" s="1">
        <f>SUM(K8,K9)</f>
        <v>405</v>
      </c>
      <c r="L10" s="2">
        <f>SUM(L8,L9)</f>
        <v>405</v>
      </c>
      <c r="V10" s="13"/>
    </row>
    <row r="11" spans="2:22" ht="30" customHeight="1" x14ac:dyDescent="0.25">
      <c r="B11" s="31"/>
      <c r="C11" s="32"/>
      <c r="D11" s="32"/>
      <c r="E11" s="33"/>
      <c r="G11" s="43" t="s">
        <v>13</v>
      </c>
      <c r="H11" s="44"/>
      <c r="I11" s="44"/>
      <c r="J11" s="44"/>
      <c r="K11" s="44"/>
      <c r="L11" s="45"/>
      <c r="V11" s="13"/>
    </row>
    <row r="12" spans="2:22" ht="15" customHeight="1" x14ac:dyDescent="0.25">
      <c r="B12" s="34" t="s">
        <v>42</v>
      </c>
      <c r="C12" s="35"/>
      <c r="D12" s="35"/>
      <c r="E12" s="36"/>
      <c r="G12" s="43" t="s">
        <v>14</v>
      </c>
      <c r="H12" s="44"/>
      <c r="I12" s="44"/>
      <c r="J12" s="44"/>
      <c r="K12" s="44"/>
      <c r="L12" s="45"/>
      <c r="V12" s="13"/>
    </row>
    <row r="13" spans="2:22" x14ac:dyDescent="0.25">
      <c r="B13" s="34"/>
      <c r="C13" s="35"/>
      <c r="D13" s="35"/>
      <c r="E13" s="36"/>
      <c r="G13" s="43" t="s">
        <v>15</v>
      </c>
      <c r="H13" s="44"/>
      <c r="I13" s="44"/>
      <c r="J13" s="44"/>
      <c r="K13" s="44"/>
      <c r="L13" s="45"/>
      <c r="V13" s="13"/>
    </row>
    <row r="14" spans="2:22" x14ac:dyDescent="0.25">
      <c r="B14" s="37"/>
      <c r="C14" s="38"/>
      <c r="D14" s="38"/>
      <c r="E14" s="39"/>
      <c r="G14" s="10" t="s">
        <v>16</v>
      </c>
      <c r="H14" s="1">
        <v>0</v>
      </c>
      <c r="I14" s="1">
        <v>1000</v>
      </c>
      <c r="J14" s="1">
        <v>4000</v>
      </c>
      <c r="K14" s="1">
        <v>4000</v>
      </c>
      <c r="L14" s="2">
        <v>4000</v>
      </c>
      <c r="R14" s="13"/>
      <c r="S14" s="13"/>
      <c r="T14" s="13"/>
      <c r="U14" s="13"/>
      <c r="V14" s="13"/>
    </row>
    <row r="15" spans="2:22" x14ac:dyDescent="0.25">
      <c r="B15" s="14"/>
      <c r="C15" s="14"/>
      <c r="D15" s="14"/>
      <c r="E15" s="14"/>
      <c r="G15" s="10" t="s">
        <v>17</v>
      </c>
      <c r="H15" s="1">
        <f>SUM(H4,H10)</f>
        <v>280</v>
      </c>
      <c r="I15" s="1">
        <f>SUM(I4,I10)</f>
        <v>655</v>
      </c>
      <c r="J15" s="1">
        <f>SUM(J4,J10)</f>
        <v>1405</v>
      </c>
      <c r="K15" s="1">
        <f>SUM(K4,K10)</f>
        <v>1405</v>
      </c>
      <c r="L15" s="2">
        <f>SUM(L4,L10)</f>
        <v>1405</v>
      </c>
      <c r="R15" s="13"/>
      <c r="S15" s="13"/>
      <c r="T15" s="13"/>
      <c r="U15" s="13"/>
      <c r="V15" s="13"/>
    </row>
    <row r="16" spans="2:22" x14ac:dyDescent="0.25">
      <c r="B16" s="14"/>
      <c r="C16" s="14"/>
      <c r="D16" s="14"/>
      <c r="E16" s="14"/>
      <c r="G16" s="10" t="s">
        <v>18</v>
      </c>
      <c r="H16" s="1">
        <f>(H14-H15)</f>
        <v>-280</v>
      </c>
      <c r="I16" s="1">
        <f>(I14-I15)</f>
        <v>345</v>
      </c>
      <c r="J16" s="1">
        <f>(J14-J15)</f>
        <v>2595</v>
      </c>
      <c r="K16" s="1">
        <f>(K14-K15)</f>
        <v>2595</v>
      </c>
      <c r="L16" s="2">
        <f>(L14-L15)</f>
        <v>2595</v>
      </c>
    </row>
    <row r="17" spans="2:12" ht="30" customHeight="1" x14ac:dyDescent="0.25">
      <c r="B17" s="18"/>
      <c r="C17" s="29" t="s">
        <v>35</v>
      </c>
      <c r="D17" s="30"/>
      <c r="E17" s="19"/>
      <c r="G17" s="43" t="s">
        <v>19</v>
      </c>
      <c r="H17" s="44"/>
      <c r="I17" s="44"/>
      <c r="J17" s="44"/>
      <c r="K17" s="44"/>
      <c r="L17" s="45"/>
    </row>
    <row r="18" spans="2:12" x14ac:dyDescent="0.25">
      <c r="B18" s="22"/>
      <c r="C18" s="16" t="s">
        <v>36</v>
      </c>
      <c r="D18" s="15">
        <f>(C5 - 2) * (J25-I25) + I25</f>
        <v>1006.8296683088445</v>
      </c>
      <c r="E18" s="21"/>
      <c r="G18" s="10" t="s">
        <v>20</v>
      </c>
      <c r="H18" s="1">
        <v>0</v>
      </c>
      <c r="I18" s="1">
        <f>I16*0.2</f>
        <v>69</v>
      </c>
      <c r="J18" s="1">
        <f>J16*0.2</f>
        <v>519</v>
      </c>
      <c r="K18" s="1">
        <f>K16*0.2</f>
        <v>519</v>
      </c>
      <c r="L18" s="2">
        <f>L16*0.2</f>
        <v>519</v>
      </c>
    </row>
    <row r="19" spans="2:12" x14ac:dyDescent="0.25">
      <c r="B19" s="22"/>
      <c r="C19" s="16" t="s">
        <v>37</v>
      </c>
      <c r="D19" s="15">
        <f xml:space="preserve"> (C5 - 2) * (J27 - I27) + I27</f>
        <v>1007.2850704565542</v>
      </c>
      <c r="E19" s="21"/>
      <c r="G19" s="10" t="s">
        <v>21</v>
      </c>
      <c r="H19" s="1">
        <f>SUM(H18,H15)</f>
        <v>280</v>
      </c>
      <c r="I19" s="1">
        <f>SUM(I18,I15)</f>
        <v>724</v>
      </c>
      <c r="J19" s="1">
        <f>SUM(J15,J18)</f>
        <v>1924</v>
      </c>
      <c r="K19" s="1">
        <f>SUM(K15,K18)</f>
        <v>1924</v>
      </c>
      <c r="L19" s="2">
        <f>SUM(L15,L18)</f>
        <v>1924</v>
      </c>
    </row>
    <row r="20" spans="2:12" ht="30" customHeight="1" x14ac:dyDescent="0.25">
      <c r="B20" s="31" t="s">
        <v>38</v>
      </c>
      <c r="C20" s="32"/>
      <c r="D20" s="32"/>
      <c r="E20" s="33"/>
      <c r="G20" s="43" t="s">
        <v>22</v>
      </c>
      <c r="H20" s="44"/>
      <c r="I20" s="44"/>
      <c r="J20" s="44"/>
      <c r="K20" s="44"/>
      <c r="L20" s="45"/>
    </row>
    <row r="21" spans="2:12" ht="15" customHeight="1" x14ac:dyDescent="0.25">
      <c r="B21" s="31"/>
      <c r="C21" s="32"/>
      <c r="D21" s="32"/>
      <c r="E21" s="33"/>
      <c r="G21" s="10" t="s">
        <v>23</v>
      </c>
      <c r="H21" s="1">
        <f>(H14-H19)</f>
        <v>-280</v>
      </c>
      <c r="I21" s="1">
        <f>(I14-I19)</f>
        <v>276</v>
      </c>
      <c r="J21" s="1">
        <f>(J14-J19)</f>
        <v>2076</v>
      </c>
      <c r="K21" s="1">
        <f>(K14-K19)</f>
        <v>2076</v>
      </c>
      <c r="L21" s="2">
        <f>(L14-L19)</f>
        <v>2076</v>
      </c>
    </row>
    <row r="22" spans="2:12" ht="30" customHeight="1" x14ac:dyDescent="0.25">
      <c r="B22" s="31" t="s">
        <v>41</v>
      </c>
      <c r="C22" s="32"/>
      <c r="D22" s="32"/>
      <c r="E22" s="33"/>
      <c r="G22" s="43" t="s">
        <v>24</v>
      </c>
      <c r="H22" s="44"/>
      <c r="I22" s="44"/>
      <c r="J22" s="44"/>
      <c r="K22" s="44"/>
      <c r="L22" s="45"/>
    </row>
    <row r="23" spans="2:12" ht="15" customHeight="1" x14ac:dyDescent="0.25">
      <c r="B23" s="31"/>
      <c r="C23" s="32"/>
      <c r="D23" s="32"/>
      <c r="E23" s="33"/>
      <c r="G23" s="10" t="s">
        <v>25</v>
      </c>
      <c r="H23" s="1">
        <f>H21</f>
        <v>-280</v>
      </c>
      <c r="I23" s="1">
        <f>SUM(H21,I21)</f>
        <v>-4</v>
      </c>
      <c r="J23" s="1">
        <f>SUM(H21,I21,J21)</f>
        <v>2072</v>
      </c>
      <c r="K23" s="1">
        <f>SUM(H21,I21,J21,K21)</f>
        <v>4148</v>
      </c>
      <c r="L23" s="2">
        <f>SUM(H21,I21,J21,K21,L21)</f>
        <v>6224</v>
      </c>
    </row>
    <row r="24" spans="2:12" x14ac:dyDescent="0.25">
      <c r="B24" s="23" t="s">
        <v>39</v>
      </c>
      <c r="C24" s="40"/>
      <c r="D24" s="40"/>
      <c r="E24" s="41"/>
      <c r="G24" s="43" t="s">
        <v>26</v>
      </c>
      <c r="H24" s="44"/>
      <c r="I24" s="44"/>
      <c r="J24" s="44"/>
      <c r="K24" s="44"/>
      <c r="L24" s="45"/>
    </row>
    <row r="25" spans="2:12" x14ac:dyDescent="0.25">
      <c r="B25" s="42"/>
      <c r="C25" s="40"/>
      <c r="D25" s="40"/>
      <c r="E25" s="41"/>
      <c r="G25" s="10" t="s">
        <v>27</v>
      </c>
      <c r="H25" s="1">
        <f>H14</f>
        <v>0</v>
      </c>
      <c r="I25" s="1">
        <f>SUM(H14,I14)</f>
        <v>1000</v>
      </c>
      <c r="J25" s="1">
        <f>SUM(H14,I14,J14)</f>
        <v>5000</v>
      </c>
      <c r="K25" s="1">
        <f>SUM(H14,I14,J14,K14)</f>
        <v>9000</v>
      </c>
      <c r="L25" s="2">
        <f>SUM(H14,I14,J14,K14,L14)</f>
        <v>13000</v>
      </c>
    </row>
    <row r="26" spans="2:12" x14ac:dyDescent="0.25">
      <c r="B26" s="23" t="s">
        <v>40</v>
      </c>
      <c r="C26" s="24"/>
      <c r="D26" s="24"/>
      <c r="E26" s="25"/>
      <c r="G26" s="43" t="s">
        <v>28</v>
      </c>
      <c r="H26" s="44"/>
      <c r="I26" s="44"/>
      <c r="J26" s="44"/>
      <c r="K26" s="44"/>
      <c r="L26" s="45"/>
    </row>
    <row r="27" spans="2:12" ht="15.75" thickBot="1" x14ac:dyDescent="0.3">
      <c r="B27" s="26"/>
      <c r="C27" s="27"/>
      <c r="D27" s="27"/>
      <c r="E27" s="28"/>
      <c r="G27" s="11" t="s">
        <v>29</v>
      </c>
      <c r="H27" s="3">
        <f>H19</f>
        <v>280</v>
      </c>
      <c r="I27" s="3">
        <f>SUM(H19,I19)</f>
        <v>1004</v>
      </c>
      <c r="J27" s="3">
        <f>SUM(H19,I19,J19)</f>
        <v>2928</v>
      </c>
      <c r="K27" s="3">
        <f>SUM(H19,I19,J19,K19)</f>
        <v>4852</v>
      </c>
      <c r="L27" s="4">
        <f>SUM(H19,I19,J19,K19,L19)</f>
        <v>6776</v>
      </c>
    </row>
    <row r="28" spans="2:12" x14ac:dyDescent="0.25">
      <c r="B28" s="17"/>
      <c r="C28" s="17"/>
      <c r="D28" s="17"/>
      <c r="E28" s="17"/>
    </row>
  </sheetData>
  <mergeCells count="20">
    <mergeCell ref="G22:L22"/>
    <mergeCell ref="G24:L24"/>
    <mergeCell ref="G26:L26"/>
    <mergeCell ref="C2:D2"/>
    <mergeCell ref="B6:E9"/>
    <mergeCell ref="B10:E11"/>
    <mergeCell ref="G20:L20"/>
    <mergeCell ref="G5:L5"/>
    <mergeCell ref="G6:L6"/>
    <mergeCell ref="G7:L7"/>
    <mergeCell ref="G11:L11"/>
    <mergeCell ref="G12:L12"/>
    <mergeCell ref="G13:L13"/>
    <mergeCell ref="G17:L17"/>
    <mergeCell ref="B26:E27"/>
    <mergeCell ref="C17:D17"/>
    <mergeCell ref="B20:E21"/>
    <mergeCell ref="B12:E14"/>
    <mergeCell ref="B22:E23"/>
    <mergeCell ref="B24:E25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alberto gonzalez martinez</cp:lastModifiedBy>
  <dcterms:created xsi:type="dcterms:W3CDTF">2020-03-08T11:49:36Z</dcterms:created>
  <dcterms:modified xsi:type="dcterms:W3CDTF">2020-03-08T18:17:36Z</dcterms:modified>
</cp:coreProperties>
</file>