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o\Desktop\Programacion\GDP\"/>
    </mc:Choice>
  </mc:AlternateContent>
  <bookViews>
    <workbookView xWindow="0" yWindow="0" windowWidth="28800" windowHeight="1233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E24" i="2" l="1"/>
  <c r="E28" i="2" s="1"/>
  <c r="F17" i="2"/>
  <c r="G17" i="2" s="1"/>
  <c r="F16" i="2"/>
  <c r="F15" i="2"/>
  <c r="E17" i="2"/>
  <c r="E16" i="2"/>
  <c r="E15" i="2"/>
  <c r="F14" i="2"/>
  <c r="E14" i="2"/>
  <c r="G14" i="2" l="1"/>
  <c r="G15" i="2"/>
  <c r="G16" i="2"/>
  <c r="F6" i="1"/>
  <c r="F7" i="1"/>
  <c r="G7" i="1" s="1"/>
  <c r="F8" i="1"/>
  <c r="G8" i="1" s="1"/>
  <c r="F9" i="1"/>
  <c r="J9" i="1" s="1"/>
  <c r="M9" i="1" s="1"/>
  <c r="F10" i="1"/>
  <c r="J10" i="1" s="1"/>
  <c r="M10" i="1" s="1"/>
  <c r="F11" i="1"/>
  <c r="F12" i="1"/>
  <c r="F13" i="1"/>
  <c r="G13" i="1" s="1"/>
  <c r="F3" i="1"/>
  <c r="F4" i="1"/>
  <c r="J4" i="1" s="1"/>
  <c r="M4" i="1" s="1"/>
  <c r="F5" i="1"/>
  <c r="J5" i="1" s="1"/>
  <c r="M5" i="1" s="1"/>
  <c r="G4" i="1"/>
  <c r="H4" i="1"/>
  <c r="I4" i="1"/>
  <c r="L4" i="1"/>
  <c r="G5" i="1"/>
  <c r="H5" i="1"/>
  <c r="I5" i="1"/>
  <c r="L5" i="1"/>
  <c r="G6" i="1"/>
  <c r="H6" i="1"/>
  <c r="I6" i="1"/>
  <c r="J6" i="1"/>
  <c r="M6" i="1" s="1"/>
  <c r="L6" i="1"/>
  <c r="H7" i="1"/>
  <c r="I7" i="1"/>
  <c r="J7" i="1"/>
  <c r="M7" i="1" s="1"/>
  <c r="L7" i="1"/>
  <c r="H8" i="1"/>
  <c r="I8" i="1"/>
  <c r="L8" i="1"/>
  <c r="H9" i="1"/>
  <c r="I9" i="1"/>
  <c r="L9" i="1"/>
  <c r="H10" i="1"/>
  <c r="I10" i="1"/>
  <c r="L10" i="1"/>
  <c r="G11" i="1"/>
  <c r="H11" i="1"/>
  <c r="I11" i="1"/>
  <c r="J11" i="1"/>
  <c r="M11" i="1" s="1"/>
  <c r="L11" i="1"/>
  <c r="G12" i="1"/>
  <c r="H12" i="1"/>
  <c r="I12" i="1"/>
  <c r="J12" i="1"/>
  <c r="M12" i="1" s="1"/>
  <c r="L12" i="1"/>
  <c r="H13" i="1"/>
  <c r="I13" i="1"/>
  <c r="J13" i="1"/>
  <c r="M13" i="1" s="1"/>
  <c r="L13" i="1"/>
  <c r="G9" i="1" l="1"/>
  <c r="G10" i="1"/>
  <c r="J8" i="1"/>
  <c r="M8" i="1" s="1"/>
  <c r="G3" i="1"/>
  <c r="D31" i="1" s="1"/>
  <c r="J3" i="1"/>
  <c r="M3" i="1" s="1"/>
  <c r="L3" i="1"/>
  <c r="I3" i="1"/>
  <c r="H3" i="1"/>
  <c r="D34" i="1" s="1"/>
  <c r="B34" i="1" l="1"/>
  <c r="B31" i="1"/>
</calcChain>
</file>

<file path=xl/sharedStrings.xml><?xml version="1.0" encoding="utf-8"?>
<sst xmlns="http://schemas.openxmlformats.org/spreadsheetml/2006/main" count="67" uniqueCount="55">
  <si>
    <t>tareas terminadas</t>
  </si>
  <si>
    <t>coste real</t>
  </si>
  <si>
    <t>CPTP(sum fases que deberian haber terminado)</t>
  </si>
  <si>
    <t>CPTR(suma coste previsto tareas terminadas)</t>
  </si>
  <si>
    <t>CRTR(coste real tareas terminadas)</t>
  </si>
  <si>
    <t>VC(var coste)</t>
  </si>
  <si>
    <t>VP(variacion prog)</t>
  </si>
  <si>
    <t>IRP(indice rend planif)</t>
  </si>
  <si>
    <t>IRC(ind rend coste)</t>
  </si>
  <si>
    <t>PC(% completado)</t>
  </si>
  <si>
    <t>EAT(estimacion coste total)</t>
  </si>
  <si>
    <t>gastado menos de lo previsto</t>
  </si>
  <si>
    <t>proyecto adelantado</t>
  </si>
  <si>
    <t>PAT(suma coste PREVISTO todas las fases)</t>
  </si>
  <si>
    <t>EL PROYECTO VA EN SU TIEMPO</t>
  </si>
  <si>
    <t>SE HA GASTADO JUSTO LO PREVISTO</t>
  </si>
  <si>
    <t xml:space="preserve"> </t>
  </si>
  <si>
    <t>FASES</t>
  </si>
  <si>
    <t>TOTAL</t>
  </si>
  <si>
    <t>PLANIFICACION Y REQUERIMIENTOS</t>
  </si>
  <si>
    <t>DISEÑO DEL PRODUCTO</t>
  </si>
  <si>
    <t>PROGRAMACION</t>
  </si>
  <si>
    <t>INTEGRACION Y PRUEBA</t>
  </si>
  <si>
    <t>ESFUERZO</t>
  </si>
  <si>
    <t>DURACION</t>
  </si>
  <si>
    <t>PERSONAL MEDIO</t>
  </si>
  <si>
    <t>Total lineas mantenimiento</t>
  </si>
  <si>
    <t>Tasa anual de cambios</t>
  </si>
  <si>
    <t>Lineas de codigo</t>
  </si>
  <si>
    <t>Coeficiente</t>
  </si>
  <si>
    <t>Esfuerzo de mantenimiento</t>
  </si>
  <si>
    <t>COCOMO</t>
  </si>
  <si>
    <t>MODIFICADORES DEL COSTE DE DESARROLLO</t>
  </si>
  <si>
    <t>ATRIBUTOS DEL PRODUCTO</t>
  </si>
  <si>
    <t>ATRIBUTOS DEL ORDENADOR</t>
  </si>
  <si>
    <t>ATRIBUTOS DEL PERSONAL</t>
  </si>
  <si>
    <t>ATRIBUTOS DEL PROYECTO</t>
  </si>
  <si>
    <r>
      <rPr>
        <b/>
        <sz val="12"/>
        <color theme="1"/>
        <rFont val="Calibri"/>
        <family val="2"/>
        <scheme val="minor"/>
      </rPr>
      <t>RELY</t>
    </r>
    <r>
      <rPr>
        <sz val="11"/>
        <color theme="1"/>
        <rFont val="Calibri"/>
        <family val="2"/>
        <scheme val="minor"/>
      </rPr>
      <t xml:space="preserve"> Confiabilidad requerida del software</t>
    </r>
  </si>
  <si>
    <r>
      <rPr>
        <b/>
        <sz val="12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Tamaño de la Base de datos</t>
    </r>
  </si>
  <si>
    <r>
      <rPr>
        <b/>
        <sz val="12"/>
        <color theme="1"/>
        <rFont val="Calibri"/>
        <family val="2"/>
        <scheme val="minor"/>
      </rPr>
      <t>CPLX</t>
    </r>
    <r>
      <rPr>
        <sz val="11"/>
        <color theme="1"/>
        <rFont val="Calibri"/>
        <family val="2"/>
        <scheme val="minor"/>
      </rPr>
      <t xml:space="preserve"> Complejidad del producto</t>
    </r>
  </si>
  <si>
    <r>
      <rPr>
        <b/>
        <sz val="12"/>
        <color theme="1"/>
        <rFont val="Calibri"/>
        <family val="2"/>
        <scheme val="minor"/>
      </rPr>
      <t xml:space="preserve"> STOR</t>
    </r>
    <r>
      <rPr>
        <sz val="11"/>
        <color theme="1"/>
        <rFont val="Calibri"/>
        <family val="2"/>
        <scheme val="minor"/>
      </rPr>
      <t xml:space="preserve"> Restriciones en almacenamiento principal</t>
    </r>
  </si>
  <si>
    <r>
      <rPr>
        <b/>
        <sz val="12"/>
        <color theme="1"/>
        <rFont val="Calibri"/>
        <family val="2"/>
        <scheme val="minor"/>
      </rPr>
      <t>TIME</t>
    </r>
    <r>
      <rPr>
        <sz val="11"/>
        <color theme="1"/>
        <rFont val="Calibri"/>
        <family val="2"/>
        <scheme val="minor"/>
      </rPr>
      <t xml:space="preserve"> Restricciones del tiempo de ejecución</t>
    </r>
  </si>
  <si>
    <r>
      <rPr>
        <b/>
        <sz val="12"/>
        <color theme="1"/>
        <rFont val="Calibri"/>
        <family val="2"/>
        <scheme val="minor"/>
      </rPr>
      <t>VIRT</t>
    </r>
    <r>
      <rPr>
        <sz val="11"/>
        <color theme="1"/>
        <rFont val="Calibri"/>
        <family val="2"/>
        <scheme val="minor"/>
      </rPr>
      <t xml:space="preserve"> Volatilidad maquina virtual</t>
    </r>
  </si>
  <si>
    <r>
      <rPr>
        <b/>
        <sz val="12"/>
        <color theme="1"/>
        <rFont val="Calibri"/>
        <family val="2"/>
        <scheme val="minor"/>
      </rPr>
      <t xml:space="preserve">TURN </t>
    </r>
    <r>
      <rPr>
        <sz val="11"/>
        <color theme="1"/>
        <rFont val="Calibri"/>
        <family val="2"/>
        <scheme val="minor"/>
      </rPr>
      <t>Tiempo respuesta del ordenador</t>
    </r>
  </si>
  <si>
    <r>
      <rPr>
        <b/>
        <sz val="12"/>
        <color theme="1"/>
        <rFont val="Calibri"/>
        <family val="2"/>
        <scheme val="minor"/>
      </rPr>
      <t>ACAP</t>
    </r>
    <r>
      <rPr>
        <sz val="11"/>
        <color theme="1"/>
        <rFont val="Calibri"/>
        <family val="2"/>
        <scheme val="minor"/>
      </rPr>
      <t xml:space="preserve"> Capacidad de los analistas</t>
    </r>
  </si>
  <si>
    <r>
      <rPr>
        <b/>
        <sz val="12"/>
        <color theme="1"/>
        <rFont val="Calibri"/>
        <family val="2"/>
        <scheme val="minor"/>
      </rPr>
      <t>AEXP</t>
    </r>
    <r>
      <rPr>
        <sz val="11"/>
        <color theme="1"/>
        <rFont val="Calibri"/>
        <family val="2"/>
        <scheme val="minor"/>
      </rPr>
      <t xml:space="preserve"> Experiencia en la aplicación </t>
    </r>
  </si>
  <si>
    <r>
      <rPr>
        <b/>
        <sz val="12"/>
        <color theme="1"/>
        <rFont val="Calibri"/>
        <family val="2"/>
        <scheme val="minor"/>
      </rPr>
      <t>PCAP</t>
    </r>
    <r>
      <rPr>
        <sz val="11"/>
        <color theme="1"/>
        <rFont val="Calibri"/>
        <family val="2"/>
        <scheme val="minor"/>
      </rPr>
      <t xml:space="preserve"> Capacidad de los programadores</t>
    </r>
  </si>
  <si>
    <r>
      <rPr>
        <b/>
        <sz val="12"/>
        <color theme="1"/>
        <rFont val="Calibri"/>
        <family val="2"/>
        <scheme val="minor"/>
      </rPr>
      <t xml:space="preserve">VEXP </t>
    </r>
    <r>
      <rPr>
        <sz val="11"/>
        <color theme="1"/>
        <rFont val="Calibri"/>
        <family val="2"/>
        <scheme val="minor"/>
      </rPr>
      <t>Experiencia en uso de memoria virtual</t>
    </r>
  </si>
  <si>
    <r>
      <rPr>
        <b/>
        <sz val="12"/>
        <color theme="1"/>
        <rFont val="Calibri"/>
        <family val="2"/>
        <scheme val="minor"/>
      </rPr>
      <t xml:space="preserve">LEXP </t>
    </r>
    <r>
      <rPr>
        <sz val="11"/>
        <color theme="1"/>
        <rFont val="Calibri"/>
        <family val="2"/>
        <scheme val="minor"/>
      </rPr>
      <t>Experiencia en lenguaje de programación</t>
    </r>
  </si>
  <si>
    <r>
      <rPr>
        <b/>
        <sz val="12"/>
        <color theme="1"/>
        <rFont val="Calibri"/>
        <family val="2"/>
        <scheme val="minor"/>
      </rPr>
      <t>MODP</t>
    </r>
    <r>
      <rPr>
        <sz val="11"/>
        <color theme="1"/>
        <rFont val="Calibri"/>
        <family val="2"/>
        <scheme val="minor"/>
      </rPr>
      <t xml:space="preserve"> Uso de prácticas modernas de pro.</t>
    </r>
  </si>
  <si>
    <r>
      <rPr>
        <b/>
        <sz val="12"/>
        <color theme="1"/>
        <rFont val="Calibri"/>
        <family val="2"/>
        <scheme val="minor"/>
      </rPr>
      <t xml:space="preserve">TOOL </t>
    </r>
    <r>
      <rPr>
        <sz val="11"/>
        <color theme="1"/>
        <rFont val="Calibri"/>
        <family val="2"/>
        <scheme val="minor"/>
      </rPr>
      <t>Uso de herramientas software</t>
    </r>
  </si>
  <si>
    <r>
      <rPr>
        <b/>
        <sz val="12"/>
        <color theme="1"/>
        <rFont val="Calibri"/>
        <family val="2"/>
        <scheme val="minor"/>
      </rPr>
      <t xml:space="preserve">SCED </t>
    </r>
    <r>
      <rPr>
        <sz val="11"/>
        <color theme="1"/>
        <rFont val="Calibri"/>
        <family val="2"/>
        <scheme val="minor"/>
      </rPr>
      <t>Calendario requerido para el desarrollo</t>
    </r>
  </si>
  <si>
    <t>(suma de todas)</t>
  </si>
  <si>
    <t>(te lo dan)</t>
  </si>
  <si>
    <t>COCOMO II (COSMOS)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</si>
</sst>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2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9" borderId="1" xfId="0" applyFill="1" applyBorder="1"/>
    <xf numFmtId="0" fontId="0" fillId="8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10" borderId="3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4"/>
  <sheetViews>
    <sheetView topLeftCell="A9" zoomScale="85" zoomScaleNormal="85" workbookViewId="0">
      <selection activeCell="F29" sqref="F29"/>
    </sheetView>
  </sheetViews>
  <sheetFormatPr baseColWidth="10" defaultRowHeight="15" x14ac:dyDescent="0.25"/>
  <cols>
    <col min="2" max="2" width="27.85546875" customWidth="1"/>
    <col min="3" max="3" width="10.5703125" customWidth="1"/>
    <col min="4" max="4" width="44.28515625" customWidth="1"/>
    <col min="5" max="5" width="41.42578125" customWidth="1"/>
    <col min="6" max="6" width="32.85546875" customWidth="1"/>
    <col min="7" max="7" width="14" customWidth="1"/>
    <col min="8" max="8" width="18.5703125" customWidth="1"/>
    <col min="9" max="9" width="21.28515625" customWidth="1"/>
    <col min="10" max="10" width="18.85546875" customWidth="1"/>
    <col min="11" max="11" width="29" customWidth="1"/>
    <col min="12" max="12" width="17.85546875" customWidth="1"/>
    <col min="13" max="13" width="27.28515625" customWidth="1"/>
  </cols>
  <sheetData>
    <row r="2" spans="2:13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3" t="s">
        <v>5</v>
      </c>
      <c r="H2" s="2" t="s">
        <v>6</v>
      </c>
      <c r="I2" s="4" t="s">
        <v>7</v>
      </c>
      <c r="J2" s="5" t="s">
        <v>8</v>
      </c>
      <c r="K2" s="1" t="s">
        <v>13</v>
      </c>
      <c r="L2" s="6" t="s">
        <v>9</v>
      </c>
      <c r="M2" s="7" t="s">
        <v>10</v>
      </c>
    </row>
    <row r="3" spans="2:13" x14ac:dyDescent="0.25">
      <c r="B3" s="1"/>
      <c r="C3" s="1">
        <v>90</v>
      </c>
      <c r="D3" s="1">
        <v>100</v>
      </c>
      <c r="E3" s="1">
        <v>70</v>
      </c>
      <c r="F3" s="1">
        <f t="shared" ref="F3:F4" si="0">C3</f>
        <v>90</v>
      </c>
      <c r="G3" s="3">
        <f>E3-F3</f>
        <v>-20</v>
      </c>
      <c r="H3" s="2">
        <f>E3-D3</f>
        <v>-30</v>
      </c>
      <c r="I3" s="4">
        <f>E3/D3</f>
        <v>0.7</v>
      </c>
      <c r="J3" s="5">
        <f>E3/F3</f>
        <v>0.77777777777777779</v>
      </c>
      <c r="K3" s="1">
        <v>115</v>
      </c>
      <c r="L3" s="6">
        <f>E3/K3</f>
        <v>0.60869565217391308</v>
      </c>
      <c r="M3" s="7">
        <f>K3/J3</f>
        <v>147.85714285714286</v>
      </c>
    </row>
    <row r="4" spans="2:13" x14ac:dyDescent="0.25">
      <c r="B4" s="1"/>
      <c r="C4" s="1">
        <v>60</v>
      </c>
      <c r="D4" s="1">
        <v>100</v>
      </c>
      <c r="E4" s="1">
        <v>70</v>
      </c>
      <c r="F4" s="1">
        <f t="shared" si="0"/>
        <v>60</v>
      </c>
      <c r="G4" s="3">
        <f t="shared" ref="G4:G13" si="1">E4-F4</f>
        <v>10</v>
      </c>
      <c r="H4" s="2">
        <f t="shared" ref="H4:H13" si="2">E4-D4</f>
        <v>-30</v>
      </c>
      <c r="I4" s="4">
        <f t="shared" ref="I4:I13" si="3">E4/D4</f>
        <v>0.7</v>
      </c>
      <c r="J4" s="5">
        <f t="shared" ref="J4:J13" si="4">E4/F4</f>
        <v>1.1666666666666667</v>
      </c>
      <c r="K4" s="1">
        <v>115</v>
      </c>
      <c r="L4" s="6">
        <f t="shared" ref="L4:L13" si="5">E4/K4</f>
        <v>0.60869565217391308</v>
      </c>
      <c r="M4" s="7">
        <f t="shared" ref="M4:M13" si="6">K4/J4</f>
        <v>98.571428571428569</v>
      </c>
    </row>
    <row r="5" spans="2:13" x14ac:dyDescent="0.25">
      <c r="B5" s="1"/>
      <c r="C5" s="1">
        <v>110</v>
      </c>
      <c r="D5" s="1">
        <v>100</v>
      </c>
      <c r="E5" s="1">
        <v>100</v>
      </c>
      <c r="F5" s="1">
        <f>C5</f>
        <v>110</v>
      </c>
      <c r="G5" s="3">
        <f t="shared" si="1"/>
        <v>-10</v>
      </c>
      <c r="H5" s="2">
        <f t="shared" si="2"/>
        <v>0</v>
      </c>
      <c r="I5" s="4">
        <f t="shared" si="3"/>
        <v>1</v>
      </c>
      <c r="J5" s="5">
        <f t="shared" si="4"/>
        <v>0.90909090909090906</v>
      </c>
      <c r="K5" s="1">
        <v>115</v>
      </c>
      <c r="L5" s="6">
        <f t="shared" si="5"/>
        <v>0.86956521739130432</v>
      </c>
      <c r="M5" s="7">
        <f t="shared" si="6"/>
        <v>126.5</v>
      </c>
    </row>
    <row r="6" spans="2:13" x14ac:dyDescent="0.25">
      <c r="B6" s="1"/>
      <c r="C6" s="1">
        <v>90</v>
      </c>
      <c r="D6" s="1">
        <v>100</v>
      </c>
      <c r="E6" s="1">
        <v>100</v>
      </c>
      <c r="F6" s="1">
        <f t="shared" ref="F6:F13" si="7">C6</f>
        <v>90</v>
      </c>
      <c r="G6" s="3">
        <f t="shared" si="1"/>
        <v>10</v>
      </c>
      <c r="H6" s="2">
        <f t="shared" si="2"/>
        <v>0</v>
      </c>
      <c r="I6" s="4">
        <f t="shared" si="3"/>
        <v>1</v>
      </c>
      <c r="J6" s="5">
        <f t="shared" si="4"/>
        <v>1.1111111111111112</v>
      </c>
      <c r="K6" s="1">
        <v>115</v>
      </c>
      <c r="L6" s="6">
        <f t="shared" si="5"/>
        <v>0.86956521739130432</v>
      </c>
      <c r="M6" s="7">
        <f t="shared" si="6"/>
        <v>103.5</v>
      </c>
    </row>
    <row r="7" spans="2:13" x14ac:dyDescent="0.25">
      <c r="B7" s="1"/>
      <c r="C7" s="1">
        <v>110</v>
      </c>
      <c r="D7" s="1">
        <v>100</v>
      </c>
      <c r="E7" s="1">
        <v>115</v>
      </c>
      <c r="F7" s="1">
        <f t="shared" si="7"/>
        <v>110</v>
      </c>
      <c r="G7" s="3">
        <f t="shared" si="1"/>
        <v>5</v>
      </c>
      <c r="H7" s="2">
        <f t="shared" si="2"/>
        <v>15</v>
      </c>
      <c r="I7" s="4">
        <f t="shared" si="3"/>
        <v>1.1499999999999999</v>
      </c>
      <c r="J7" s="5">
        <f t="shared" si="4"/>
        <v>1.0454545454545454</v>
      </c>
      <c r="K7" s="1">
        <v>115</v>
      </c>
      <c r="L7" s="6">
        <f t="shared" si="5"/>
        <v>1</v>
      </c>
      <c r="M7" s="7">
        <f t="shared" si="6"/>
        <v>110</v>
      </c>
    </row>
    <row r="8" spans="2:13" x14ac:dyDescent="0.25">
      <c r="B8" s="1"/>
      <c r="C8" s="1">
        <v>120</v>
      </c>
      <c r="D8" s="1">
        <v>100</v>
      </c>
      <c r="E8" s="1">
        <v>115</v>
      </c>
      <c r="F8" s="1">
        <f t="shared" si="7"/>
        <v>120</v>
      </c>
      <c r="G8" s="3">
        <f t="shared" si="1"/>
        <v>-5</v>
      </c>
      <c r="H8" s="2">
        <f t="shared" si="2"/>
        <v>15</v>
      </c>
      <c r="I8" s="4">
        <f t="shared" si="3"/>
        <v>1.1499999999999999</v>
      </c>
      <c r="J8" s="5">
        <f t="shared" si="4"/>
        <v>0.95833333333333337</v>
      </c>
      <c r="K8" s="1">
        <v>115</v>
      </c>
      <c r="L8" s="6">
        <f t="shared" si="5"/>
        <v>1</v>
      </c>
      <c r="M8" s="7">
        <f t="shared" si="6"/>
        <v>120</v>
      </c>
    </row>
    <row r="9" spans="2:13" x14ac:dyDescent="0.25">
      <c r="B9" s="1"/>
      <c r="C9" s="1" t="s">
        <v>16</v>
      </c>
      <c r="D9" s="1" t="s">
        <v>16</v>
      </c>
      <c r="E9" s="1" t="s">
        <v>16</v>
      </c>
      <c r="F9" s="1" t="str">
        <f t="shared" si="7"/>
        <v xml:space="preserve"> </v>
      </c>
      <c r="G9" s="3" t="e">
        <f t="shared" si="1"/>
        <v>#VALUE!</v>
      </c>
      <c r="H9" s="2" t="e">
        <f t="shared" si="2"/>
        <v>#VALUE!</v>
      </c>
      <c r="I9" s="4" t="e">
        <f t="shared" si="3"/>
        <v>#VALUE!</v>
      </c>
      <c r="J9" s="5" t="e">
        <f t="shared" si="4"/>
        <v>#VALUE!</v>
      </c>
      <c r="K9" s="1">
        <v>115</v>
      </c>
      <c r="L9" s="6" t="e">
        <f t="shared" si="5"/>
        <v>#VALUE!</v>
      </c>
      <c r="M9" s="7" t="e">
        <f t="shared" si="6"/>
        <v>#VALUE!</v>
      </c>
    </row>
    <row r="10" spans="2:13" x14ac:dyDescent="0.25">
      <c r="B10" s="1"/>
      <c r="C10" s="1">
        <v>55</v>
      </c>
      <c r="D10" s="1">
        <v>70</v>
      </c>
      <c r="E10" s="1">
        <v>40</v>
      </c>
      <c r="F10" s="1">
        <f t="shared" si="7"/>
        <v>55</v>
      </c>
      <c r="G10" s="3">
        <f t="shared" si="1"/>
        <v>-15</v>
      </c>
      <c r="H10" s="2">
        <f t="shared" si="2"/>
        <v>-30</v>
      </c>
      <c r="I10" s="4">
        <f t="shared" si="3"/>
        <v>0.5714285714285714</v>
      </c>
      <c r="J10" s="5">
        <f t="shared" si="4"/>
        <v>0.72727272727272729</v>
      </c>
      <c r="K10" s="1">
        <v>90</v>
      </c>
      <c r="L10" s="6">
        <f t="shared" si="5"/>
        <v>0.44444444444444442</v>
      </c>
      <c r="M10" s="7">
        <f t="shared" si="6"/>
        <v>123.75</v>
      </c>
    </row>
    <row r="11" spans="2:13" x14ac:dyDescent="0.25">
      <c r="B11" s="1"/>
      <c r="C11" s="1" t="s">
        <v>16</v>
      </c>
      <c r="D11" s="1" t="s">
        <v>16</v>
      </c>
      <c r="E11" s="1" t="s">
        <v>16</v>
      </c>
      <c r="F11" s="1" t="str">
        <f t="shared" si="7"/>
        <v xml:space="preserve"> </v>
      </c>
      <c r="G11" s="3" t="e">
        <f t="shared" si="1"/>
        <v>#VALUE!</v>
      </c>
      <c r="H11" s="2" t="e">
        <f t="shared" si="2"/>
        <v>#VALUE!</v>
      </c>
      <c r="I11" s="4" t="e">
        <f t="shared" si="3"/>
        <v>#VALUE!</v>
      </c>
      <c r="J11" s="5" t="e">
        <f t="shared" si="4"/>
        <v>#VALUE!</v>
      </c>
      <c r="K11" s="1">
        <v>115</v>
      </c>
      <c r="L11" s="6" t="e">
        <f t="shared" si="5"/>
        <v>#VALUE!</v>
      </c>
      <c r="M11" s="7" t="e">
        <f t="shared" si="6"/>
        <v>#VALUE!</v>
      </c>
    </row>
    <row r="12" spans="2:13" x14ac:dyDescent="0.25">
      <c r="B12" s="1"/>
      <c r="C12" s="1" t="s">
        <v>16</v>
      </c>
      <c r="D12" s="1" t="s">
        <v>16</v>
      </c>
      <c r="E12" s="1" t="s">
        <v>16</v>
      </c>
      <c r="F12" s="1" t="str">
        <f t="shared" si="7"/>
        <v xml:space="preserve"> </v>
      </c>
      <c r="G12" s="3" t="e">
        <f t="shared" si="1"/>
        <v>#VALUE!</v>
      </c>
      <c r="H12" s="2" t="e">
        <f t="shared" si="2"/>
        <v>#VALUE!</v>
      </c>
      <c r="I12" s="4" t="e">
        <f t="shared" si="3"/>
        <v>#VALUE!</v>
      </c>
      <c r="J12" s="5" t="e">
        <f t="shared" si="4"/>
        <v>#VALUE!</v>
      </c>
      <c r="K12" s="1">
        <v>115</v>
      </c>
      <c r="L12" s="6" t="e">
        <f t="shared" si="5"/>
        <v>#VALUE!</v>
      </c>
      <c r="M12" s="7" t="e">
        <f t="shared" si="6"/>
        <v>#VALUE!</v>
      </c>
    </row>
    <row r="13" spans="2:13" x14ac:dyDescent="0.25">
      <c r="B13" s="1"/>
      <c r="C13" s="1" t="s">
        <v>16</v>
      </c>
      <c r="D13" s="1" t="s">
        <v>16</v>
      </c>
      <c r="E13" s="1" t="s">
        <v>16</v>
      </c>
      <c r="F13" s="1" t="str">
        <f t="shared" si="7"/>
        <v xml:space="preserve"> </v>
      </c>
      <c r="G13" s="3" t="e">
        <f t="shared" si="1"/>
        <v>#VALUE!</v>
      </c>
      <c r="H13" s="2" t="e">
        <f t="shared" si="2"/>
        <v>#VALUE!</v>
      </c>
      <c r="I13" s="4" t="e">
        <f t="shared" si="3"/>
        <v>#VALUE!</v>
      </c>
      <c r="J13" s="5" t="e">
        <f t="shared" si="4"/>
        <v>#VALUE!</v>
      </c>
      <c r="K13" s="1">
        <v>115</v>
      </c>
      <c r="L13" s="6" t="e">
        <f t="shared" si="5"/>
        <v>#VALUE!</v>
      </c>
      <c r="M13" s="7" t="e">
        <f t="shared" si="6"/>
        <v>#VALUE!</v>
      </c>
    </row>
    <row r="14" spans="2:13" x14ac:dyDescent="0.25">
      <c r="E14" s="8" t="s">
        <v>16</v>
      </c>
    </row>
    <row r="30" spans="2:4" x14ac:dyDescent="0.25">
      <c r="B30" s="3" t="s">
        <v>11</v>
      </c>
      <c r="D30" s="3" t="s">
        <v>15</v>
      </c>
    </row>
    <row r="31" spans="2:4" x14ac:dyDescent="0.25">
      <c r="B31" s="3" t="str">
        <f>IF(G3&gt;0,"si","no")</f>
        <v>no</v>
      </c>
      <c r="D31" s="3" t="str">
        <f>IF(G3=0,"si","NO MIRAR")</f>
        <v>NO MIRAR</v>
      </c>
    </row>
    <row r="33" spans="2:4" x14ac:dyDescent="0.25">
      <c r="B33" s="2" t="s">
        <v>12</v>
      </c>
      <c r="D33" s="2" t="s">
        <v>14</v>
      </c>
    </row>
    <row r="34" spans="2:4" x14ac:dyDescent="0.25">
      <c r="B34" s="2" t="str">
        <f>IF(H3&gt;0,"si","no")</f>
        <v>no</v>
      </c>
      <c r="D34" s="2" t="str">
        <f>IF(H3=0,"si","no MIRAR")</f>
        <v>no MIRAR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0:M30"/>
  <sheetViews>
    <sheetView tabSelected="1" topLeftCell="A5" workbookViewId="0">
      <selection activeCell="G14" sqref="G14"/>
    </sheetView>
  </sheetViews>
  <sheetFormatPr baseColWidth="10" defaultRowHeight="15" x14ac:dyDescent="0.25"/>
  <cols>
    <col min="3" max="3" width="13" customWidth="1"/>
    <col min="4" max="4" width="32.7109375" customWidth="1"/>
    <col min="7" max="7" width="17.7109375" customWidth="1"/>
  </cols>
  <sheetData>
    <row r="10" spans="4:13" x14ac:dyDescent="0.25">
      <c r="J10" s="26" t="s">
        <v>54</v>
      </c>
      <c r="K10" s="27"/>
      <c r="L10" s="27"/>
      <c r="M10" s="28"/>
    </row>
    <row r="11" spans="4:13" x14ac:dyDescent="0.25">
      <c r="D11" s="13" t="s">
        <v>31</v>
      </c>
      <c r="E11" s="13"/>
      <c r="F11" s="13"/>
      <c r="G11" s="13"/>
      <c r="J11" s="14" t="s">
        <v>32</v>
      </c>
      <c r="K11" s="14"/>
      <c r="L11" s="14"/>
      <c r="M11" s="14"/>
    </row>
    <row r="12" spans="4:13" x14ac:dyDescent="0.25">
      <c r="D12" s="9" t="s">
        <v>17</v>
      </c>
      <c r="E12" s="10" t="s">
        <v>23</v>
      </c>
      <c r="F12" s="10" t="s">
        <v>24</v>
      </c>
      <c r="G12" s="10" t="s">
        <v>25</v>
      </c>
      <c r="J12" s="14" t="s">
        <v>33</v>
      </c>
      <c r="K12" s="14"/>
      <c r="L12" s="14"/>
      <c r="M12" s="14"/>
    </row>
    <row r="13" spans="4:13" ht="15.75" x14ac:dyDescent="0.25">
      <c r="D13" s="9" t="s">
        <v>18</v>
      </c>
      <c r="E13" s="1">
        <v>45.8</v>
      </c>
      <c r="F13" s="1">
        <v>10.7</v>
      </c>
      <c r="G13" s="1">
        <f>E13/F13</f>
        <v>4.2803738317757007</v>
      </c>
      <c r="J13" s="15" t="s">
        <v>37</v>
      </c>
      <c r="K13" s="16"/>
      <c r="L13" s="16"/>
      <c r="M13" s="17"/>
    </row>
    <row r="14" spans="4:13" ht="32.25" customHeight="1" x14ac:dyDescent="0.25">
      <c r="D14" s="11" t="s">
        <v>19</v>
      </c>
      <c r="E14" s="1">
        <f>0.06*E13</f>
        <v>2.7479999999999998</v>
      </c>
      <c r="F14" s="1">
        <f>0.11*F13</f>
        <v>1.1769999999999998</v>
      </c>
      <c r="G14" s="1">
        <f>E14/F14</f>
        <v>2.3347493627867459</v>
      </c>
      <c r="J14" s="15" t="s">
        <v>38</v>
      </c>
      <c r="K14" s="16"/>
      <c r="L14" s="16"/>
      <c r="M14" s="17"/>
    </row>
    <row r="15" spans="4:13" ht="15.75" x14ac:dyDescent="0.25">
      <c r="D15" s="9" t="s">
        <v>20</v>
      </c>
      <c r="E15" s="1">
        <f>0.16*E13</f>
        <v>7.3279999999999994</v>
      </c>
      <c r="F15" s="1">
        <f>0.19*F13</f>
        <v>2.0329999999999999</v>
      </c>
      <c r="G15" s="1">
        <f t="shared" ref="G15:G17" si="0">E15/F15</f>
        <v>3.6045253320216428</v>
      </c>
      <c r="J15" s="15" t="s">
        <v>39</v>
      </c>
      <c r="K15" s="16"/>
      <c r="L15" s="16"/>
      <c r="M15" s="17"/>
    </row>
    <row r="16" spans="4:13" x14ac:dyDescent="0.25">
      <c r="D16" s="9" t="s">
        <v>21</v>
      </c>
      <c r="E16" s="1">
        <f>0.65*E13</f>
        <v>29.77</v>
      </c>
      <c r="F16" s="1">
        <f>0.59*F13</f>
        <v>6.3129999999999988</v>
      </c>
      <c r="G16" s="1">
        <f t="shared" si="0"/>
        <v>4.7156660858545862</v>
      </c>
      <c r="J16" s="14" t="s">
        <v>34</v>
      </c>
      <c r="K16" s="14"/>
      <c r="L16" s="14"/>
      <c r="M16" s="18"/>
    </row>
    <row r="17" spans="4:13" ht="15.75" x14ac:dyDescent="0.25">
      <c r="D17" s="9" t="s">
        <v>22</v>
      </c>
      <c r="E17" s="1">
        <f>0.19*E13</f>
        <v>8.702</v>
      </c>
      <c r="F17" s="1">
        <f>0.22*F13</f>
        <v>2.3539999999999996</v>
      </c>
      <c r="G17" s="1">
        <f t="shared" si="0"/>
        <v>3.6966864910790149</v>
      </c>
      <c r="J17" s="19" t="s">
        <v>41</v>
      </c>
      <c r="K17" s="19"/>
      <c r="L17" s="19"/>
      <c r="M17" s="19"/>
    </row>
    <row r="18" spans="4:13" ht="15.75" x14ac:dyDescent="0.25">
      <c r="J18" s="19" t="s">
        <v>40</v>
      </c>
      <c r="K18" s="19"/>
      <c r="L18" s="19"/>
      <c r="M18" s="19"/>
    </row>
    <row r="19" spans="4:13" ht="15.75" x14ac:dyDescent="0.25">
      <c r="J19" s="19" t="s">
        <v>42</v>
      </c>
      <c r="K19" s="19"/>
      <c r="L19" s="19"/>
      <c r="M19" s="19"/>
    </row>
    <row r="20" spans="4:13" ht="15.75" x14ac:dyDescent="0.25">
      <c r="D20" s="9" t="s">
        <v>28</v>
      </c>
      <c r="E20" s="1">
        <v>8000</v>
      </c>
      <c r="J20" s="19" t="s">
        <v>43</v>
      </c>
      <c r="K20" s="19"/>
      <c r="L20" s="19"/>
      <c r="M20" s="19"/>
    </row>
    <row r="21" spans="4:13" x14ac:dyDescent="0.25">
      <c r="J21" s="20" t="s">
        <v>35</v>
      </c>
      <c r="K21" s="21"/>
      <c r="L21" s="21"/>
      <c r="M21" s="22"/>
    </row>
    <row r="22" spans="4:13" ht="15.75" x14ac:dyDescent="0.25">
      <c r="D22" s="12" t="s">
        <v>26</v>
      </c>
      <c r="E22" s="1">
        <v>2000</v>
      </c>
      <c r="F22" t="s">
        <v>52</v>
      </c>
      <c r="J22" s="23" t="s">
        <v>44</v>
      </c>
      <c r="K22" s="24"/>
      <c r="L22" s="24"/>
      <c r="M22" s="25"/>
    </row>
    <row r="23" spans="4:13" ht="15.75" x14ac:dyDescent="0.25">
      <c r="J23" s="23" t="s">
        <v>45</v>
      </c>
      <c r="K23" s="24"/>
      <c r="L23" s="24"/>
      <c r="M23" s="25"/>
    </row>
    <row r="24" spans="4:13" ht="15.75" x14ac:dyDescent="0.25">
      <c r="D24" s="12" t="s">
        <v>27</v>
      </c>
      <c r="E24" s="1">
        <f>E22/E20</f>
        <v>0.25</v>
      </c>
      <c r="J24" s="23" t="s">
        <v>46</v>
      </c>
      <c r="K24" s="24"/>
      <c r="L24" s="24"/>
      <c r="M24" s="25"/>
    </row>
    <row r="25" spans="4:13" ht="15.75" x14ac:dyDescent="0.25">
      <c r="J25" s="23" t="s">
        <v>47</v>
      </c>
      <c r="K25" s="24"/>
      <c r="L25" s="24"/>
      <c r="M25" s="25"/>
    </row>
    <row r="26" spans="4:13" ht="15.75" x14ac:dyDescent="0.25">
      <c r="D26" s="12" t="s">
        <v>29</v>
      </c>
      <c r="E26" s="1">
        <v>0.85</v>
      </c>
      <c r="F26" t="s">
        <v>53</v>
      </c>
      <c r="J26" s="23" t="s">
        <v>48</v>
      </c>
      <c r="K26" s="24"/>
      <c r="L26" s="24"/>
      <c r="M26" s="25"/>
    </row>
    <row r="27" spans="4:13" x14ac:dyDescent="0.25">
      <c r="J27" s="20" t="s">
        <v>36</v>
      </c>
      <c r="K27" s="21"/>
      <c r="L27" s="21"/>
      <c r="M27" s="22"/>
    </row>
    <row r="28" spans="4:13" ht="15.75" x14ac:dyDescent="0.25">
      <c r="D28" s="12" t="s">
        <v>30</v>
      </c>
      <c r="E28" s="1">
        <f>E26*E24*E13</f>
        <v>9.7324999999999999</v>
      </c>
      <c r="J28" s="23" t="s">
        <v>49</v>
      </c>
      <c r="K28" s="24"/>
      <c r="L28" s="24"/>
      <c r="M28" s="25"/>
    </row>
    <row r="29" spans="4:13" ht="15.75" x14ac:dyDescent="0.25">
      <c r="J29" s="19" t="s">
        <v>50</v>
      </c>
      <c r="K29" s="19"/>
      <c r="L29" s="19"/>
      <c r="M29" s="19"/>
    </row>
    <row r="30" spans="4:13" ht="15.75" x14ac:dyDescent="0.25">
      <c r="J30" s="19" t="s">
        <v>51</v>
      </c>
      <c r="K30" s="19"/>
      <c r="L30" s="19"/>
      <c r="M30" s="19"/>
    </row>
  </sheetData>
  <mergeCells count="22">
    <mergeCell ref="J30:M30"/>
    <mergeCell ref="J10:M10"/>
    <mergeCell ref="J25:M25"/>
    <mergeCell ref="J26:M26"/>
    <mergeCell ref="J27:M27"/>
    <mergeCell ref="J28:M28"/>
    <mergeCell ref="J29:M29"/>
    <mergeCell ref="J20:M20"/>
    <mergeCell ref="J21:M21"/>
    <mergeCell ref="J22:M22"/>
    <mergeCell ref="J23:M23"/>
    <mergeCell ref="J24:M24"/>
    <mergeCell ref="J15:M15"/>
    <mergeCell ref="J16:M16"/>
    <mergeCell ref="J17:M17"/>
    <mergeCell ref="J18:M18"/>
    <mergeCell ref="J19:M19"/>
    <mergeCell ref="D11:G11"/>
    <mergeCell ref="J11:M11"/>
    <mergeCell ref="J12:M12"/>
    <mergeCell ref="J13:M13"/>
    <mergeCell ref="J14:M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Mario</cp:lastModifiedBy>
  <dcterms:created xsi:type="dcterms:W3CDTF">2020-05-21T17:19:16Z</dcterms:created>
  <dcterms:modified xsi:type="dcterms:W3CDTF">2020-05-25T16:37:53Z</dcterms:modified>
</cp:coreProperties>
</file>