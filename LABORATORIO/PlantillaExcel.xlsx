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84171de3c12e77/Documentos/GitHub/Gestion-de-Proyectos/LABORATORIO/"/>
    </mc:Choice>
  </mc:AlternateContent>
  <xr:revisionPtr revIDLastSave="157" documentId="8_{831488E1-896C-40FC-AC29-E6499EF24642}" xr6:coauthVersionLast="44" xr6:coauthVersionMax="44" xr10:uidLastSave="{9D3F384F-91B6-4CC3-8DD4-829EB1894FDA}"/>
  <bookViews>
    <workbookView xWindow="3570" yWindow="2535" windowWidth="21600" windowHeight="11385" xr2:uid="{18253720-E9B0-4880-B9C6-A655962F4D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85" i="1" l="1"/>
  <c r="E85" i="1"/>
  <c r="F84" i="1"/>
  <c r="E84" i="1"/>
  <c r="F83" i="1"/>
  <c r="E83" i="1"/>
  <c r="H78" i="1"/>
  <c r="H77" i="1"/>
  <c r="H76" i="1"/>
  <c r="G78" i="1"/>
  <c r="G77" i="1"/>
  <c r="G76" i="1"/>
  <c r="F78" i="1"/>
  <c r="F77" i="1"/>
  <c r="F76" i="1"/>
  <c r="E78" i="1"/>
  <c r="E77" i="1"/>
  <c r="E76" i="1"/>
  <c r="D78" i="1"/>
  <c r="D77" i="1"/>
  <c r="D76" i="1"/>
  <c r="C18" i="1"/>
  <c r="G36" i="1"/>
  <c r="G30" i="1"/>
  <c r="H30" i="1" s="1"/>
  <c r="C7" i="1"/>
  <c r="C9" i="1" s="1"/>
  <c r="C12" i="1" s="1"/>
  <c r="E22" i="1"/>
  <c r="G22" i="1"/>
  <c r="F22" i="1"/>
  <c r="D22" i="1"/>
  <c r="C22" i="1"/>
  <c r="G8" i="1"/>
  <c r="F8" i="1"/>
  <c r="E8" i="1"/>
  <c r="D8" i="1"/>
  <c r="G7" i="1"/>
  <c r="F7" i="1"/>
  <c r="E7" i="1"/>
  <c r="D7" i="1"/>
  <c r="D9" i="1" l="1"/>
  <c r="D12" i="1" s="1"/>
  <c r="D13" i="1" s="1"/>
  <c r="F9" i="1"/>
  <c r="F12" i="1" s="1"/>
  <c r="F13" i="1" s="1"/>
  <c r="E9" i="1"/>
  <c r="E12" i="1" s="1"/>
  <c r="E13" i="1" s="1"/>
  <c r="G9" i="1"/>
  <c r="G12" i="1" s="1"/>
  <c r="G13" i="1" s="1"/>
  <c r="C13" i="1"/>
  <c r="C15" i="1" s="1"/>
  <c r="C16" i="1" s="1"/>
  <c r="F15" i="1" l="1"/>
  <c r="F16" i="1" s="1"/>
  <c r="F18" i="1" s="1"/>
  <c r="G15" i="1"/>
  <c r="G16" i="1" s="1"/>
  <c r="G18" i="1" s="1"/>
  <c r="E15" i="1"/>
  <c r="E16" i="1" s="1"/>
  <c r="E18" i="1" s="1"/>
  <c r="D15" i="1"/>
  <c r="D16" i="1" s="1"/>
  <c r="C24" i="1"/>
  <c r="D18" i="1" l="1"/>
  <c r="G20" i="1" s="1"/>
  <c r="E24" i="1"/>
  <c r="F24" i="1"/>
  <c r="G24" i="1"/>
  <c r="D24" i="1"/>
  <c r="D20" i="1"/>
  <c r="C20" i="1"/>
  <c r="F20" i="1" l="1"/>
  <c r="E20" i="1"/>
</calcChain>
</file>

<file path=xl/sharedStrings.xml><?xml version="1.0" encoding="utf-8"?>
<sst xmlns="http://schemas.openxmlformats.org/spreadsheetml/2006/main" count="108" uniqueCount="70">
  <si>
    <t>Año 1</t>
  </si>
  <si>
    <t>Año 2</t>
  </si>
  <si>
    <t>Año 3</t>
  </si>
  <si>
    <t>Año 4</t>
  </si>
  <si>
    <t>Año 5</t>
  </si>
  <si>
    <t>Inversión (IV)</t>
  </si>
  <si>
    <t>Costes producción (CP)</t>
  </si>
  <si>
    <t>Para las amortizaciones tenemos que dividir la inversión por el número de años que quedan para recuperarla</t>
  </si>
  <si>
    <t>Amortización total (A)</t>
  </si>
  <si>
    <t>Para los beneficios tenemos que ver el precio del producto y las unidades vendidas</t>
  </si>
  <si>
    <t>Ingresos (I)</t>
  </si>
  <si>
    <t>Gastos (G) = (CP + A)</t>
  </si>
  <si>
    <t>Beneficios brutos (I - G)</t>
  </si>
  <si>
    <t>Para los impuestos aplicamos la tasa anual por año, solo teniendo en cuenta los años en los que el beneficio bruto &gt; 0</t>
  </si>
  <si>
    <t>Impuestos (T)</t>
  </si>
  <si>
    <t>Gastos + Impuestos</t>
  </si>
  <si>
    <t>Para calcular los beneficios netos restamos los ingresos a los gastos + impuestos</t>
  </si>
  <si>
    <t>Beneficios netos</t>
  </si>
  <si>
    <t>Para calcular los beneficios vamos sumando al año en curso los beneficios del anterior</t>
  </si>
  <si>
    <t>Beneficio acumulado</t>
  </si>
  <si>
    <t>Para los ingresos acumulados lo mismo, pero con los ingresos</t>
  </si>
  <si>
    <t>Ingresos acumulados</t>
  </si>
  <si>
    <t>Para los gastos acumulados lo mismo, pero con los gastos + impuestos</t>
  </si>
  <si>
    <t>Gastos acumulados</t>
  </si>
  <si>
    <t xml:space="preserve"> </t>
  </si>
  <si>
    <t>Proyecto escenario</t>
  </si>
  <si>
    <t>último año &lt; 0</t>
  </si>
  <si>
    <t>1er año &gt; 0</t>
  </si>
  <si>
    <t>cifra &lt; 0</t>
  </si>
  <si>
    <t>cifra &gt; 0</t>
  </si>
  <si>
    <t>BET (días)</t>
  </si>
  <si>
    <t>BET (años)</t>
  </si>
  <si>
    <t>BET (años + meses)</t>
  </si>
  <si>
    <t>1+2</t>
  </si>
  <si>
    <t>3+4</t>
  </si>
  <si>
    <t>1+2+3+4</t>
  </si>
  <si>
    <t>Proyecto</t>
  </si>
  <si>
    <t>último año &lt;  0</t>
  </si>
  <si>
    <t>CE</t>
  </si>
  <si>
    <t>1+2 (I)</t>
  </si>
  <si>
    <t>1+2 (G)</t>
  </si>
  <si>
    <t>3+4 (I)</t>
  </si>
  <si>
    <t>3+4 (G)</t>
  </si>
  <si>
    <t>1+2+3+4 (I)</t>
  </si>
  <si>
    <t>1+2+3+4 (G)</t>
  </si>
  <si>
    <t>Cálculo del BET (Beneficio acumulado)</t>
  </si>
  <si>
    <t>Cálculo cifra de equilibrio (Gastos y ingresos acumulados)</t>
  </si>
  <si>
    <t xml:space="preserve">Amortización </t>
  </si>
  <si>
    <t>Amortización</t>
  </si>
  <si>
    <t>IAequilibrio = (BET - Xaños) * (IA_AÑO&gt;0 - IA_AÑO&lt;0) + IA_AÑO&lt;0</t>
  </si>
  <si>
    <t>GAequilibrio = (BET - Xaños) * (GA_AÑO&gt;0 - GA_AÑO&lt;0) + GA_AÑO&lt;0</t>
  </si>
  <si>
    <r>
      <rPr>
        <b/>
        <sz val="11"/>
        <color theme="1"/>
        <rFont val="Calibri"/>
        <family val="2"/>
        <scheme val="minor"/>
      </rPr>
      <t>BET = (-BA_AÑO&lt;0 * 365)/(BA_AÑO&gt;0 - BA_AÑO&lt;0) + 2 * 365</t>
    </r>
    <r>
      <rPr>
        <sz val="11"/>
        <color theme="1"/>
        <rFont val="Calibri"/>
        <family val="2"/>
        <scheme val="minor"/>
      </rPr>
      <t xml:space="preserve">                  </t>
    </r>
  </si>
  <si>
    <t>ROI</t>
  </si>
  <si>
    <t>ROI = beneficio acumulado a final del proyecto</t>
  </si>
  <si>
    <t>RI</t>
  </si>
  <si>
    <t xml:space="preserve">ROI </t>
  </si>
  <si>
    <t>RI = (ROI - Inversion inicial) / Inversion inicial</t>
  </si>
  <si>
    <t>Inversión inicial (K€)</t>
  </si>
  <si>
    <t>Flujos netos de caja (FNC)</t>
  </si>
  <si>
    <t>Interés(%)</t>
  </si>
  <si>
    <t>VAN</t>
  </si>
  <si>
    <t>VAN = -Inversion + FNC1/(1+intereses) + … + FNCN/(1+intereses)^n</t>
  </si>
  <si>
    <r>
      <t xml:space="preserve">Si cambia la tasa de inflacion en el año en el que cambie ponemos </t>
    </r>
    <r>
      <rPr>
        <b/>
        <sz val="11"/>
        <color theme="1"/>
        <rFont val="Calibri"/>
        <family val="2"/>
        <scheme val="minor"/>
      </rPr>
      <t>FNCaño/(1+Kanterior)^numero_años_anteriores * (1+K)</t>
    </r>
  </si>
  <si>
    <t>FNC = Beneficio neto + Amortizaciones + Provisiones</t>
  </si>
  <si>
    <t>CIFRA EQUILIBRIO</t>
  </si>
  <si>
    <t>INGRESOS</t>
  </si>
  <si>
    <t>GASTOS</t>
  </si>
  <si>
    <t>SOLUCION</t>
  </si>
  <si>
    <t>BET(dias)</t>
  </si>
  <si>
    <t>ESCENARIO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</si>
</sst>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 style="medium">
        <color theme="2" tint="-0.499984740745262"/>
      </right>
      <top/>
      <bottom style="medium">
        <color theme="2" tint="-0.499984740745262"/>
      </bottom>
      <diagonal/>
    </border>
    <border>
      <left/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medium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medium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 wrapText="1"/>
    </xf>
    <xf numFmtId="0" fontId="0" fillId="3" borderId="9" xfId="0" applyFill="1" applyBorder="1" applyAlignment="1">
      <alignment horizontal="justify" vertical="center" wrapText="1"/>
    </xf>
    <xf numFmtId="0" fontId="0" fillId="3" borderId="10" xfId="0" applyFill="1" applyBorder="1" applyAlignment="1">
      <alignment horizontal="justify" vertical="center" wrapText="1"/>
    </xf>
    <xf numFmtId="0" fontId="0" fillId="3" borderId="11" xfId="0" applyFill="1" applyBorder="1" applyAlignment="1">
      <alignment horizontal="justify" vertical="center" wrapText="1"/>
    </xf>
    <xf numFmtId="0" fontId="0" fillId="3" borderId="8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1" fillId="2" borderId="12" xfId="0" applyFont="1" applyFill="1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2" borderId="15" xfId="0" applyFill="1" applyBorder="1" applyAlignment="1">
      <alignment horizontal="center"/>
    </xf>
    <xf numFmtId="0" fontId="2" fillId="2" borderId="15" xfId="0" applyFont="1" applyFill="1" applyBorder="1"/>
    <xf numFmtId="0" fontId="2" fillId="3" borderId="15" xfId="0" applyFont="1" applyFill="1" applyBorder="1"/>
    <xf numFmtId="0" fontId="0" fillId="0" borderId="15" xfId="0" applyBorder="1"/>
    <xf numFmtId="0" fontId="0" fillId="3" borderId="15" xfId="0" applyFill="1" applyBorder="1"/>
    <xf numFmtId="0" fontId="0" fillId="4" borderId="15" xfId="0" applyFill="1" applyBorder="1" applyAlignment="1">
      <alignment horizontal="center"/>
    </xf>
    <xf numFmtId="0" fontId="0" fillId="5" borderId="15" xfId="0" applyFill="1" applyBorder="1"/>
    <xf numFmtId="0" fontId="0" fillId="0" borderId="16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0" fillId="0" borderId="22" xfId="0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1" xfId="0" applyFont="1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22" xfId="0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3" fillId="5" borderId="15" xfId="0" applyFont="1" applyFill="1" applyBorder="1" applyAlignment="1">
      <alignment horizontal="center" vertical="center"/>
    </xf>
    <xf numFmtId="0" fontId="3" fillId="5" borderId="15" xfId="0" applyFont="1" applyFill="1" applyBorder="1"/>
    <xf numFmtId="0" fontId="0" fillId="6" borderId="15" xfId="0" applyFill="1" applyBorder="1" applyAlignment="1">
      <alignment horizontal="center"/>
    </xf>
    <xf numFmtId="0" fontId="4" fillId="3" borderId="15" xfId="0" applyFont="1" applyFill="1" applyBorder="1"/>
    <xf numFmtId="0" fontId="1" fillId="0" borderId="0" xfId="0" applyFont="1" applyAlignment="1">
      <alignment horizontal="center" vertical="top" wrapText="1"/>
    </xf>
    <xf numFmtId="0" fontId="1" fillId="0" borderId="15" xfId="0" applyFont="1" applyBorder="1" applyAlignment="1">
      <alignment horizontal="center"/>
    </xf>
    <xf numFmtId="0" fontId="0" fillId="0" borderId="23" xfId="0" applyBorder="1"/>
    <xf numFmtId="0" fontId="5" fillId="0" borderId="24" xfId="0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1" fillId="0" borderId="21" xfId="0" applyFont="1" applyBorder="1" applyAlignment="1">
      <alignment horizontal="center"/>
    </xf>
    <xf numFmtId="0" fontId="0" fillId="0" borderId="21" xfId="0" applyBorder="1"/>
    <xf numFmtId="0" fontId="0" fillId="0" borderId="33" xfId="0" applyBorder="1"/>
    <xf numFmtId="0" fontId="0" fillId="0" borderId="19" xfId="0" applyBorder="1"/>
    <xf numFmtId="0" fontId="1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75429-3A1E-4C82-9C0D-8FA5B95C26A8}">
  <dimension ref="B2:N86"/>
  <sheetViews>
    <sheetView tabSelected="1" topLeftCell="A34" workbookViewId="0">
      <selection activeCell="H52" sqref="H52"/>
    </sheetView>
  </sheetViews>
  <sheetFormatPr baseColWidth="10" defaultRowHeight="15" x14ac:dyDescent="0.25"/>
  <cols>
    <col min="2" max="2" width="22.28515625" customWidth="1"/>
    <col min="3" max="3" width="14" customWidth="1"/>
    <col min="4" max="4" width="13.28515625" customWidth="1"/>
    <col min="6" max="6" width="16.5703125" customWidth="1"/>
    <col min="7" max="7" width="16.42578125" customWidth="1"/>
    <col min="8" max="8" width="14.28515625" customWidth="1"/>
    <col min="9" max="9" width="16.28515625" customWidth="1"/>
    <col min="12" max="12" width="26.7109375" customWidth="1"/>
  </cols>
  <sheetData>
    <row r="2" spans="2:7" ht="15.75" thickBot="1" x14ac:dyDescent="0.3">
      <c r="B2" t="s">
        <v>69</v>
      </c>
    </row>
    <row r="3" spans="2:7" ht="15.75" thickBot="1" x14ac:dyDescent="0.3">
      <c r="B3" s="1"/>
      <c r="C3" s="2" t="s">
        <v>0</v>
      </c>
      <c r="D3" s="3" t="s">
        <v>1</v>
      </c>
      <c r="E3" s="3" t="s">
        <v>2</v>
      </c>
      <c r="F3" s="3" t="s">
        <v>3</v>
      </c>
      <c r="G3" s="4" t="s">
        <v>4</v>
      </c>
    </row>
    <row r="4" spans="2:7" x14ac:dyDescent="0.25">
      <c r="B4" s="5" t="s">
        <v>5</v>
      </c>
      <c r="C4" s="6"/>
      <c r="D4" s="6"/>
      <c r="E4" s="6"/>
      <c r="F4" s="6"/>
      <c r="G4" s="7"/>
    </row>
    <row r="5" spans="2:7" x14ac:dyDescent="0.25">
      <c r="B5" s="8" t="s">
        <v>6</v>
      </c>
      <c r="C5" s="6"/>
      <c r="D5" s="6"/>
      <c r="E5" s="6"/>
      <c r="F5" s="6"/>
      <c r="G5" s="7"/>
    </row>
    <row r="6" spans="2:7" ht="15" customHeight="1" x14ac:dyDescent="0.25">
      <c r="B6" s="9" t="s">
        <v>7</v>
      </c>
      <c r="C6" s="10"/>
      <c r="D6" s="10"/>
      <c r="E6" s="10"/>
      <c r="F6" s="10"/>
      <c r="G6" s="11"/>
    </row>
    <row r="7" spans="2:7" x14ac:dyDescent="0.25">
      <c r="B7" s="8" t="s">
        <v>47</v>
      </c>
      <c r="C7" s="6">
        <f>(C4/5)</f>
        <v>0</v>
      </c>
      <c r="D7" s="6">
        <f>(C4/5)</f>
        <v>0</v>
      </c>
      <c r="E7" s="6">
        <f>(C4/5)</f>
        <v>0</v>
      </c>
      <c r="F7" s="6">
        <f>(C4/5)</f>
        <v>0</v>
      </c>
      <c r="G7" s="7">
        <f>(C4/5)</f>
        <v>0</v>
      </c>
    </row>
    <row r="8" spans="2:7" x14ac:dyDescent="0.25">
      <c r="B8" s="8" t="s">
        <v>48</v>
      </c>
      <c r="C8" s="6">
        <v>0</v>
      </c>
      <c r="D8" s="6">
        <f>(D4/4)</f>
        <v>0</v>
      </c>
      <c r="E8" s="6">
        <f>(D4/4)</f>
        <v>0</v>
      </c>
      <c r="F8" s="6">
        <f>(D4/4)</f>
        <v>0</v>
      </c>
      <c r="G8" s="7">
        <f>(D4/4)</f>
        <v>0</v>
      </c>
    </row>
    <row r="9" spans="2:7" x14ac:dyDescent="0.25">
      <c r="B9" s="8" t="s">
        <v>8</v>
      </c>
      <c r="C9" s="6">
        <f>SUM(C7,C8)</f>
        <v>0</v>
      </c>
      <c r="D9" s="6">
        <f>SUM(D7,D8)</f>
        <v>0</v>
      </c>
      <c r="E9" s="6">
        <f>SUM(E7,E8)</f>
        <v>0</v>
      </c>
      <c r="F9" s="6">
        <f>SUM(F7,F8)</f>
        <v>0</v>
      </c>
      <c r="G9" s="7">
        <f>SUM(G7,G8)</f>
        <v>0</v>
      </c>
    </row>
    <row r="10" spans="2:7" ht="15" customHeight="1" x14ac:dyDescent="0.25">
      <c r="B10" s="12" t="s">
        <v>9</v>
      </c>
      <c r="C10" s="13"/>
      <c r="D10" s="13"/>
      <c r="E10" s="13"/>
      <c r="F10" s="13"/>
      <c r="G10" s="14"/>
    </row>
    <row r="11" spans="2:7" x14ac:dyDescent="0.25">
      <c r="B11" s="8" t="s">
        <v>10</v>
      </c>
      <c r="C11" s="6"/>
      <c r="D11" s="6"/>
      <c r="E11" s="6"/>
      <c r="F11" s="6"/>
      <c r="G11" s="7"/>
    </row>
    <row r="12" spans="2:7" x14ac:dyDescent="0.25">
      <c r="B12" s="8" t="s">
        <v>11</v>
      </c>
      <c r="C12" s="6">
        <f>SUM(C5,C9)</f>
        <v>0</v>
      </c>
      <c r="D12" s="6">
        <f>SUM(D5,D9)</f>
        <v>0</v>
      </c>
      <c r="E12" s="6">
        <f>SUM(E5,E9)</f>
        <v>0</v>
      </c>
      <c r="F12" s="6">
        <f>SUM(F5,F9)</f>
        <v>0</v>
      </c>
      <c r="G12" s="7">
        <f>SUM(G5,G9)</f>
        <v>0</v>
      </c>
    </row>
    <row r="13" spans="2:7" x14ac:dyDescent="0.25">
      <c r="B13" s="8" t="s">
        <v>12</v>
      </c>
      <c r="C13" s="6">
        <f>(C11-C12)</f>
        <v>0</v>
      </c>
      <c r="D13" s="6">
        <f>(D11-D12)</f>
        <v>0</v>
      </c>
      <c r="E13" s="6">
        <f>(E11-E12)</f>
        <v>0</v>
      </c>
      <c r="F13" s="6">
        <f>(F11-F12)</f>
        <v>0</v>
      </c>
      <c r="G13" s="7">
        <f>(G11-G12)</f>
        <v>0</v>
      </c>
    </row>
    <row r="14" spans="2:7" ht="15" customHeight="1" x14ac:dyDescent="0.25">
      <c r="B14" s="12" t="s">
        <v>13</v>
      </c>
      <c r="C14" s="13"/>
      <c r="D14" s="13"/>
      <c r="E14" s="13"/>
      <c r="F14" s="13"/>
      <c r="G14" s="14"/>
    </row>
    <row r="15" spans="2:7" x14ac:dyDescent="0.25">
      <c r="B15" s="8" t="s">
        <v>14</v>
      </c>
      <c r="C15" s="6">
        <f>C13*0.2</f>
        <v>0</v>
      </c>
      <c r="D15" s="6">
        <f>D13*0.2</f>
        <v>0</v>
      </c>
      <c r="E15" s="6">
        <f>E13*0.2</f>
        <v>0</v>
      </c>
      <c r="F15" s="6">
        <f>F13*0.2</f>
        <v>0</v>
      </c>
      <c r="G15" s="7">
        <f>G13*0.2</f>
        <v>0</v>
      </c>
    </row>
    <row r="16" spans="2:7" x14ac:dyDescent="0.25">
      <c r="B16" s="8" t="s">
        <v>15</v>
      </c>
      <c r="C16" s="6">
        <f>SUM(C15,C12)</f>
        <v>0</v>
      </c>
      <c r="D16" s="6">
        <f>SUM(D15,D12)</f>
        <v>0</v>
      </c>
      <c r="E16" s="6">
        <f>SUM(E12,E15)</f>
        <v>0</v>
      </c>
      <c r="F16" s="6">
        <f>SUM(F12,F15)</f>
        <v>0</v>
      </c>
      <c r="G16" s="7">
        <f>SUM(G12,G15)</f>
        <v>0</v>
      </c>
    </row>
    <row r="17" spans="2:14" ht="15" customHeight="1" x14ac:dyDescent="0.25">
      <c r="B17" s="12" t="s">
        <v>16</v>
      </c>
      <c r="C17" s="13"/>
      <c r="D17" s="13"/>
      <c r="E17" s="13"/>
      <c r="F17" s="13"/>
      <c r="G17" s="14"/>
    </row>
    <row r="18" spans="2:14" x14ac:dyDescent="0.25">
      <c r="B18" s="8" t="s">
        <v>17</v>
      </c>
      <c r="C18" s="6">
        <f>(C11-C16)</f>
        <v>0</v>
      </c>
      <c r="D18" s="6">
        <f>(D11-D16)</f>
        <v>0</v>
      </c>
      <c r="E18" s="6">
        <f>(E11-E16)</f>
        <v>0</v>
      </c>
      <c r="F18" s="6">
        <f>(F11-F16)</f>
        <v>0</v>
      </c>
      <c r="G18" s="7">
        <f>(G11-G16)</f>
        <v>0</v>
      </c>
    </row>
    <row r="19" spans="2:14" ht="15" customHeight="1" x14ac:dyDescent="0.25">
      <c r="B19" s="12" t="s">
        <v>18</v>
      </c>
      <c r="C19" s="13"/>
      <c r="D19" s="13"/>
      <c r="E19" s="13"/>
      <c r="F19" s="13"/>
      <c r="G19" s="14"/>
    </row>
    <row r="20" spans="2:14" x14ac:dyDescent="0.25">
      <c r="B20" s="8" t="s">
        <v>19</v>
      </c>
      <c r="C20" s="6">
        <f>C18</f>
        <v>0</v>
      </c>
      <c r="D20" s="6">
        <f>SUM(C18,D18)</f>
        <v>0</v>
      </c>
      <c r="E20" s="6">
        <f>SUM(C18,D18,E18)</f>
        <v>0</v>
      </c>
      <c r="F20" s="6">
        <f>SUM(C18,D18,E18,F18)</f>
        <v>0</v>
      </c>
      <c r="G20" s="7">
        <f>SUM(C18,D18,E18,F18,G18)</f>
        <v>0</v>
      </c>
    </row>
    <row r="21" spans="2:14" ht="15" customHeight="1" x14ac:dyDescent="0.25">
      <c r="B21" s="12" t="s">
        <v>20</v>
      </c>
      <c r="C21" s="13"/>
      <c r="D21" s="13"/>
      <c r="E21" s="13"/>
      <c r="F21" s="13"/>
      <c r="G21" s="14"/>
    </row>
    <row r="22" spans="2:14" x14ac:dyDescent="0.25">
      <c r="B22" s="8" t="s">
        <v>21</v>
      </c>
      <c r="C22" s="6">
        <f>C11</f>
        <v>0</v>
      </c>
      <c r="D22" s="6">
        <f>SUM(C11,D11)</f>
        <v>0</v>
      </c>
      <c r="E22" s="6">
        <f>SUM(C11,D11,E11)</f>
        <v>0</v>
      </c>
      <c r="F22" s="6">
        <f>SUM(C11,D11,E11,F11)</f>
        <v>0</v>
      </c>
      <c r="G22" s="7">
        <f>SUM(C11,D11,E11,F11,G11)</f>
        <v>0</v>
      </c>
    </row>
    <row r="23" spans="2:14" ht="15" customHeight="1" x14ac:dyDescent="0.25">
      <c r="B23" s="12" t="s">
        <v>22</v>
      </c>
      <c r="C23" s="13"/>
      <c r="D23" s="13"/>
      <c r="E23" s="13"/>
      <c r="F23" s="13"/>
      <c r="G23" s="14"/>
    </row>
    <row r="24" spans="2:14" ht="15.75" thickBot="1" x14ac:dyDescent="0.3">
      <c r="B24" s="15" t="s">
        <v>23</v>
      </c>
      <c r="C24" s="16">
        <f>C16</f>
        <v>0</v>
      </c>
      <c r="D24" s="16">
        <f>SUM(C16,D16)</f>
        <v>0</v>
      </c>
      <c r="E24" s="16">
        <f>SUM(C16,D16,E16)</f>
        <v>0</v>
      </c>
      <c r="F24" s="16">
        <f>SUM(C16,D16,E16,F16)</f>
        <v>0</v>
      </c>
      <c r="G24" s="17">
        <f>SUM(C16,D16,E16,F16,G16)</f>
        <v>0</v>
      </c>
      <c r="H24" t="s">
        <v>24</v>
      </c>
    </row>
    <row r="28" spans="2:14" ht="12" customHeight="1" x14ac:dyDescent="0.25">
      <c r="B28" s="18" t="s">
        <v>45</v>
      </c>
      <c r="C28" s="18"/>
      <c r="D28" s="18"/>
      <c r="E28" s="18"/>
      <c r="F28" s="18"/>
      <c r="G28" s="18"/>
      <c r="H28" s="18"/>
      <c r="I28" s="18"/>
    </row>
    <row r="29" spans="2:14" x14ac:dyDescent="0.25">
      <c r="B29" s="19" t="s">
        <v>25</v>
      </c>
      <c r="C29" s="20" t="s">
        <v>26</v>
      </c>
      <c r="D29" s="20" t="s">
        <v>27</v>
      </c>
      <c r="E29" s="20" t="s">
        <v>28</v>
      </c>
      <c r="F29" s="20" t="s">
        <v>29</v>
      </c>
      <c r="G29" s="20" t="s">
        <v>30</v>
      </c>
      <c r="H29" s="20" t="s">
        <v>31</v>
      </c>
      <c r="I29" s="20" t="s">
        <v>32</v>
      </c>
      <c r="K29" s="25" t="s">
        <v>51</v>
      </c>
      <c r="L29" s="26"/>
      <c r="M29" s="26"/>
      <c r="N29" s="27"/>
    </row>
    <row r="30" spans="2:14" x14ac:dyDescent="0.25">
      <c r="B30" s="21" t="s">
        <v>33</v>
      </c>
      <c r="C30" s="22"/>
      <c r="D30" s="22"/>
      <c r="E30" s="22"/>
      <c r="F30" s="22"/>
      <c r="G30" s="21" t="e">
        <f>((-E30*365)/(F30-E30))+2*365</f>
        <v>#DIV/0!</v>
      </c>
      <c r="H30" s="21" t="e">
        <f>G30/365</f>
        <v>#DIV/0!</v>
      </c>
      <c r="I30" s="21"/>
      <c r="K30" s="25"/>
      <c r="L30" s="26"/>
      <c r="M30" s="26"/>
      <c r="N30" s="27"/>
    </row>
    <row r="31" spans="2:14" x14ac:dyDescent="0.25">
      <c r="B31" s="21" t="s">
        <v>34</v>
      </c>
      <c r="C31" s="22"/>
      <c r="D31" s="22"/>
      <c r="E31" s="22"/>
      <c r="F31" s="22"/>
      <c r="G31" s="21"/>
      <c r="H31" s="21"/>
      <c r="I31" s="21"/>
      <c r="K31" s="28"/>
      <c r="L31" s="29"/>
      <c r="M31" s="29"/>
      <c r="N31" s="30"/>
    </row>
    <row r="32" spans="2:14" x14ac:dyDescent="0.25">
      <c r="B32" s="21" t="s">
        <v>35</v>
      </c>
      <c r="C32" s="21"/>
      <c r="D32" s="21"/>
      <c r="E32" s="21"/>
      <c r="F32" s="22"/>
      <c r="G32" s="21"/>
      <c r="H32" s="21"/>
      <c r="I32" s="21"/>
    </row>
    <row r="34" spans="2:12" x14ac:dyDescent="0.25">
      <c r="B34" s="23" t="s">
        <v>46</v>
      </c>
      <c r="C34" s="23"/>
      <c r="D34" s="23"/>
      <c r="E34" s="23"/>
      <c r="F34" s="23"/>
      <c r="G34" s="23"/>
    </row>
    <row r="35" spans="2:12" x14ac:dyDescent="0.25">
      <c r="B35" s="24" t="s">
        <v>36</v>
      </c>
      <c r="C35" s="24" t="s">
        <v>37</v>
      </c>
      <c r="D35" s="24" t="s">
        <v>27</v>
      </c>
      <c r="E35" s="24" t="s">
        <v>28</v>
      </c>
      <c r="F35" s="24" t="s">
        <v>29</v>
      </c>
      <c r="G35" s="24" t="s">
        <v>38</v>
      </c>
    </row>
    <row r="36" spans="2:12" x14ac:dyDescent="0.25">
      <c r="B36" s="21" t="s">
        <v>39</v>
      </c>
      <c r="C36" s="24"/>
      <c r="D36" s="24"/>
      <c r="E36" s="24"/>
      <c r="F36" s="24"/>
      <c r="G36" s="24">
        <f>(H28-2)*(F36-E36)+E36</f>
        <v>0</v>
      </c>
      <c r="I36" s="31" t="s">
        <v>49</v>
      </c>
      <c r="J36" s="32"/>
      <c r="K36" s="32"/>
      <c r="L36" s="33"/>
    </row>
    <row r="37" spans="2:12" x14ac:dyDescent="0.25">
      <c r="B37" s="21" t="s">
        <v>40</v>
      </c>
      <c r="C37" s="24"/>
      <c r="D37" s="24"/>
      <c r="E37" s="24"/>
      <c r="F37" s="24"/>
      <c r="G37" s="24"/>
      <c r="I37" s="34"/>
      <c r="J37" s="32"/>
      <c r="K37" s="32"/>
      <c r="L37" s="33"/>
    </row>
    <row r="38" spans="2:12" x14ac:dyDescent="0.25">
      <c r="B38" s="21" t="s">
        <v>41</v>
      </c>
      <c r="C38" s="24"/>
      <c r="D38" s="24"/>
      <c r="E38" s="24"/>
      <c r="F38" s="24"/>
      <c r="G38" s="24"/>
      <c r="I38" s="31" t="s">
        <v>50</v>
      </c>
      <c r="J38" s="35"/>
      <c r="K38" s="35"/>
      <c r="L38" s="36"/>
    </row>
    <row r="39" spans="2:12" x14ac:dyDescent="0.25">
      <c r="B39" s="21" t="s">
        <v>42</v>
      </c>
      <c r="C39" s="24"/>
      <c r="D39" s="24"/>
      <c r="E39" s="24"/>
      <c r="F39" s="24"/>
      <c r="G39" s="24"/>
      <c r="I39" s="37"/>
      <c r="J39" s="38"/>
      <c r="K39" s="38"/>
      <c r="L39" s="39"/>
    </row>
    <row r="40" spans="2:12" x14ac:dyDescent="0.25">
      <c r="B40" s="21" t="s">
        <v>43</v>
      </c>
      <c r="C40" s="24"/>
      <c r="D40" s="24"/>
      <c r="E40" s="24"/>
      <c r="F40" s="24"/>
      <c r="G40" s="24"/>
    </row>
    <row r="41" spans="2:12" x14ac:dyDescent="0.25">
      <c r="B41" s="21" t="s">
        <v>44</v>
      </c>
      <c r="C41" s="24"/>
      <c r="D41" s="24"/>
      <c r="E41" s="24"/>
      <c r="F41" s="24"/>
      <c r="G41" s="24"/>
    </row>
    <row r="44" spans="2:12" ht="18" customHeight="1" x14ac:dyDescent="0.25">
      <c r="B44" s="42" t="s">
        <v>55</v>
      </c>
      <c r="C44" s="43"/>
    </row>
    <row r="45" spans="2:12" x14ac:dyDescent="0.25">
      <c r="B45" s="21" t="s">
        <v>33</v>
      </c>
      <c r="C45" s="21"/>
      <c r="E45" s="45" t="s">
        <v>53</v>
      </c>
      <c r="F45" s="44"/>
      <c r="G45" s="44"/>
    </row>
    <row r="46" spans="2:12" x14ac:dyDescent="0.25">
      <c r="B46" s="21" t="s">
        <v>34</v>
      </c>
      <c r="C46" s="21"/>
      <c r="E46" s="44"/>
      <c r="F46" s="44"/>
      <c r="G46" s="44"/>
    </row>
    <row r="47" spans="2:12" x14ac:dyDescent="0.25">
      <c r="B47" s="21" t="s">
        <v>35</v>
      </c>
      <c r="C47" s="21"/>
    </row>
    <row r="50" spans="2:12" x14ac:dyDescent="0.25">
      <c r="B50" s="47" t="s">
        <v>54</v>
      </c>
      <c r="C50" s="46"/>
    </row>
    <row r="51" spans="2:12" x14ac:dyDescent="0.25">
      <c r="B51" s="21" t="s">
        <v>33</v>
      </c>
      <c r="C51" s="21"/>
      <c r="E51" s="45" t="s">
        <v>56</v>
      </c>
      <c r="F51" s="44"/>
      <c r="G51" s="44"/>
    </row>
    <row r="52" spans="2:12" x14ac:dyDescent="0.25">
      <c r="B52" s="21" t="s">
        <v>34</v>
      </c>
      <c r="C52" s="21"/>
      <c r="E52" s="44"/>
      <c r="F52" s="44"/>
      <c r="G52" s="44"/>
    </row>
    <row r="53" spans="2:12" x14ac:dyDescent="0.25">
      <c r="B53" s="21" t="s">
        <v>35</v>
      </c>
      <c r="C53" s="21"/>
    </row>
    <row r="57" spans="2:12" x14ac:dyDescent="0.25">
      <c r="B57" s="48" t="s">
        <v>25</v>
      </c>
      <c r="C57" s="49" t="s">
        <v>57</v>
      </c>
      <c r="D57" s="49" t="s">
        <v>58</v>
      </c>
      <c r="E57" s="49" t="s">
        <v>57</v>
      </c>
      <c r="F57" s="49" t="s">
        <v>58</v>
      </c>
      <c r="G57" s="49" t="s">
        <v>57</v>
      </c>
      <c r="H57" s="49" t="s">
        <v>58</v>
      </c>
      <c r="I57" s="49" t="s">
        <v>57</v>
      </c>
      <c r="J57" s="49" t="s">
        <v>58</v>
      </c>
      <c r="K57" s="49" t="s">
        <v>57</v>
      </c>
      <c r="L57" s="49" t="s">
        <v>58</v>
      </c>
    </row>
    <row r="58" spans="2:12" x14ac:dyDescent="0.25">
      <c r="B58" s="48"/>
      <c r="C58" s="50" t="s">
        <v>0</v>
      </c>
      <c r="D58" s="50"/>
      <c r="E58" s="50" t="s">
        <v>1</v>
      </c>
      <c r="F58" s="50"/>
      <c r="G58" s="50" t="s">
        <v>2</v>
      </c>
      <c r="H58" s="50"/>
      <c r="I58" s="50" t="s">
        <v>3</v>
      </c>
      <c r="J58" s="50"/>
      <c r="K58" s="50" t="s">
        <v>4</v>
      </c>
      <c r="L58" s="50"/>
    </row>
    <row r="59" spans="2:12" x14ac:dyDescent="0.25">
      <c r="B59" s="21" t="s">
        <v>33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</row>
    <row r="60" spans="2:12" x14ac:dyDescent="0.25">
      <c r="B60" s="21" t="s">
        <v>34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</row>
    <row r="61" spans="2:12" x14ac:dyDescent="0.25">
      <c r="B61" s="21" t="s">
        <v>35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</row>
    <row r="62" spans="2:12" x14ac:dyDescent="0.25">
      <c r="B62" s="21" t="s">
        <v>59</v>
      </c>
      <c r="C62" s="51"/>
      <c r="D62" s="21"/>
      <c r="E62" s="22"/>
      <c r="F62" s="21"/>
      <c r="G62" s="22"/>
      <c r="H62" s="21"/>
      <c r="I62" s="22"/>
      <c r="J62" s="21"/>
      <c r="K62" s="22"/>
      <c r="L62" s="21"/>
    </row>
    <row r="64" spans="2:12" x14ac:dyDescent="0.25">
      <c r="B64" s="47" t="s">
        <v>60</v>
      </c>
      <c r="C64" s="46"/>
    </row>
    <row r="65" spans="2:9" ht="15" customHeight="1" x14ac:dyDescent="0.25">
      <c r="B65" s="21" t="s">
        <v>33</v>
      </c>
      <c r="C65" s="21"/>
      <c r="E65" s="52" t="s">
        <v>61</v>
      </c>
      <c r="F65" s="52"/>
      <c r="G65" s="52"/>
      <c r="H65" s="52"/>
      <c r="I65" s="52"/>
    </row>
    <row r="66" spans="2:9" x14ac:dyDescent="0.25">
      <c r="B66" s="21" t="s">
        <v>34</v>
      </c>
      <c r="C66" s="21"/>
      <c r="E66" s="52"/>
      <c r="F66" s="52"/>
      <c r="G66" s="52"/>
      <c r="H66" s="52"/>
      <c r="I66" s="52"/>
    </row>
    <row r="67" spans="2:9" x14ac:dyDescent="0.25">
      <c r="B67" s="21" t="s">
        <v>35</v>
      </c>
      <c r="C67" s="21"/>
      <c r="E67" s="26" t="s">
        <v>62</v>
      </c>
      <c r="F67" s="26"/>
      <c r="G67" s="26"/>
      <c r="H67" s="26"/>
      <c r="I67" s="26"/>
    </row>
    <row r="68" spans="2:9" x14ac:dyDescent="0.25">
      <c r="E68" s="26"/>
      <c r="F68" s="26"/>
      <c r="G68" s="26"/>
      <c r="H68" s="26"/>
      <c r="I68" s="26"/>
    </row>
    <row r="69" spans="2:9" x14ac:dyDescent="0.25">
      <c r="E69" s="26"/>
      <c r="F69" s="26"/>
      <c r="G69" s="26"/>
      <c r="H69" s="26"/>
      <c r="I69" s="26"/>
    </row>
    <row r="70" spans="2:9" ht="15" customHeight="1" x14ac:dyDescent="0.25">
      <c r="E70" s="52" t="s">
        <v>63</v>
      </c>
      <c r="F70" s="26"/>
      <c r="G70" s="26"/>
      <c r="H70" s="26"/>
    </row>
    <row r="71" spans="2:9" x14ac:dyDescent="0.25">
      <c r="E71" s="26"/>
      <c r="F71" s="26"/>
      <c r="G71" s="26"/>
      <c r="H71" s="26"/>
    </row>
    <row r="72" spans="2:9" ht="15.75" thickBot="1" x14ac:dyDescent="0.3"/>
    <row r="73" spans="2:9" ht="15.75" thickTop="1" x14ac:dyDescent="0.25">
      <c r="C73" s="54"/>
      <c r="D73" s="55" t="s">
        <v>67</v>
      </c>
      <c r="E73" s="55"/>
      <c r="F73" s="55"/>
      <c r="G73" s="55"/>
      <c r="H73" s="56"/>
      <c r="I73" s="57"/>
    </row>
    <row r="74" spans="2:9" x14ac:dyDescent="0.25">
      <c r="C74" s="57"/>
      <c r="D74" s="58"/>
      <c r="E74" s="58"/>
      <c r="F74" s="58"/>
      <c r="G74" s="58"/>
      <c r="H74" s="68"/>
      <c r="I74" s="57"/>
    </row>
    <row r="75" spans="2:9" x14ac:dyDescent="0.25">
      <c r="C75" s="60"/>
      <c r="D75" s="53" t="s">
        <v>60</v>
      </c>
      <c r="E75" s="53" t="s">
        <v>52</v>
      </c>
      <c r="F75" s="53" t="s">
        <v>54</v>
      </c>
      <c r="G75" s="65" t="s">
        <v>68</v>
      </c>
      <c r="H75" s="69" t="s">
        <v>31</v>
      </c>
      <c r="I75" s="57"/>
    </row>
    <row r="76" spans="2:9" x14ac:dyDescent="0.25">
      <c r="C76" s="60" t="s">
        <v>33</v>
      </c>
      <c r="D76" s="21">
        <f>C65</f>
        <v>0</v>
      </c>
      <c r="E76" s="21">
        <f>C45</f>
        <v>0</v>
      </c>
      <c r="F76" s="21">
        <f>C51</f>
        <v>0</v>
      </c>
      <c r="G76" s="66" t="e">
        <f>G30</f>
        <v>#DIV/0!</v>
      </c>
      <c r="H76" s="66" t="e">
        <f>H30</f>
        <v>#DIV/0!</v>
      </c>
      <c r="I76" s="57"/>
    </row>
    <row r="77" spans="2:9" x14ac:dyDescent="0.25">
      <c r="C77" s="60" t="s">
        <v>34</v>
      </c>
      <c r="D77" s="21">
        <f>C66</f>
        <v>0</v>
      </c>
      <c r="E77" s="21">
        <f>C46</f>
        <v>0</v>
      </c>
      <c r="F77" s="21">
        <f>C52</f>
        <v>0</v>
      </c>
      <c r="G77" s="66">
        <f>G31</f>
        <v>0</v>
      </c>
      <c r="H77" s="66">
        <f>H31</f>
        <v>0</v>
      </c>
      <c r="I77" s="57"/>
    </row>
    <row r="78" spans="2:9" x14ac:dyDescent="0.25">
      <c r="C78" s="60" t="s">
        <v>35</v>
      </c>
      <c r="D78" s="21">
        <f>C67</f>
        <v>0</v>
      </c>
      <c r="E78" s="21">
        <f>C47</f>
        <v>0</v>
      </c>
      <c r="F78" s="21">
        <f>C53</f>
        <v>0</v>
      </c>
      <c r="G78" s="66">
        <f>G32</f>
        <v>0</v>
      </c>
      <c r="H78" s="61">
        <f>H32</f>
        <v>0</v>
      </c>
      <c r="I78" s="57"/>
    </row>
    <row r="79" spans="2:9" x14ac:dyDescent="0.25">
      <c r="C79" s="57"/>
      <c r="D79" s="58"/>
      <c r="E79" s="58"/>
      <c r="F79" s="58"/>
      <c r="G79" s="58"/>
      <c r="H79" s="59"/>
    </row>
    <row r="80" spans="2:9" x14ac:dyDescent="0.25">
      <c r="C80" s="57"/>
      <c r="D80" s="58"/>
      <c r="E80" s="58"/>
      <c r="F80" s="58"/>
      <c r="G80" s="58"/>
      <c r="H80" s="59"/>
    </row>
    <row r="81" spans="3:8" x14ac:dyDescent="0.25">
      <c r="C81" s="57"/>
      <c r="D81" s="21"/>
      <c r="E81" s="41" t="s">
        <v>64</v>
      </c>
      <c r="F81" s="40"/>
      <c r="G81" s="58"/>
      <c r="H81" s="59"/>
    </row>
    <row r="82" spans="3:8" x14ac:dyDescent="0.25">
      <c r="C82" s="57"/>
      <c r="D82" s="21"/>
      <c r="E82" s="53" t="s">
        <v>65</v>
      </c>
      <c r="F82" s="53" t="s">
        <v>66</v>
      </c>
      <c r="G82" s="58"/>
      <c r="H82" s="59"/>
    </row>
    <row r="83" spans="3:8" x14ac:dyDescent="0.25">
      <c r="C83" s="57"/>
      <c r="D83" s="21" t="s">
        <v>33</v>
      </c>
      <c r="E83" s="21">
        <f>G36</f>
        <v>0</v>
      </c>
      <c r="F83" s="21">
        <f>G37</f>
        <v>0</v>
      </c>
      <c r="G83" s="58"/>
      <c r="H83" s="59"/>
    </row>
    <row r="84" spans="3:8" x14ac:dyDescent="0.25">
      <c r="C84" s="57"/>
      <c r="D84" s="21" t="s">
        <v>34</v>
      </c>
      <c r="E84" s="21">
        <f>G38</f>
        <v>0</v>
      </c>
      <c r="F84" s="21">
        <f>G39</f>
        <v>0</v>
      </c>
      <c r="G84" s="58"/>
      <c r="H84" s="59"/>
    </row>
    <row r="85" spans="3:8" ht="15.75" thickBot="1" x14ac:dyDescent="0.3">
      <c r="C85" s="62"/>
      <c r="D85" s="63" t="s">
        <v>35</v>
      </c>
      <c r="E85" s="63">
        <f>G40</f>
        <v>0</v>
      </c>
      <c r="F85" s="63">
        <f>G41</f>
        <v>0</v>
      </c>
      <c r="G85" s="67"/>
      <c r="H85" s="64"/>
    </row>
    <row r="86" spans="3:8" ht="15.75" thickTop="1" x14ac:dyDescent="0.25"/>
  </sheetData>
  <mergeCells count="23">
    <mergeCell ref="E65:I66"/>
    <mergeCell ref="E67:I69"/>
    <mergeCell ref="E70:H71"/>
    <mergeCell ref="E81:F81"/>
    <mergeCell ref="D73:G73"/>
    <mergeCell ref="B50:C50"/>
    <mergeCell ref="E51:G52"/>
    <mergeCell ref="B57:B58"/>
    <mergeCell ref="B64:C64"/>
    <mergeCell ref="K29:N31"/>
    <mergeCell ref="I36:L37"/>
    <mergeCell ref="I38:L39"/>
    <mergeCell ref="B44:C44"/>
    <mergeCell ref="E45:G46"/>
    <mergeCell ref="B34:G34"/>
    <mergeCell ref="B14:G14"/>
    <mergeCell ref="B17:G17"/>
    <mergeCell ref="B19:G19"/>
    <mergeCell ref="B21:G21"/>
    <mergeCell ref="B23:G23"/>
    <mergeCell ref="B28:I28"/>
    <mergeCell ref="B6:G6"/>
    <mergeCell ref="B10:G10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</dc:creator>
  <cp:lastModifiedBy>alberto gonzalez martinez</cp:lastModifiedBy>
  <dcterms:created xsi:type="dcterms:W3CDTF">2020-03-08T17:10:31Z</dcterms:created>
  <dcterms:modified xsi:type="dcterms:W3CDTF">2020-03-08T18:19:33Z</dcterms:modified>
</cp:coreProperties>
</file>