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avier\Desktop\INFORMATICA\GESTIÓN DE PROYECTOS\l\"/>
    </mc:Choice>
  </mc:AlternateContent>
  <xr:revisionPtr revIDLastSave="0" documentId="13_ncr:1_{4EA644FF-BD69-48AA-80DA-E47CBCFA54C1}" xr6:coauthVersionLast="44" xr6:coauthVersionMax="44" xr10:uidLastSave="{00000000-0000-0000-0000-000000000000}"/>
  <bookViews>
    <workbookView xWindow="7200" yWindow="0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1" l="1"/>
  <c r="I24" i="1"/>
  <c r="D49" i="1"/>
  <c r="J24" i="1" l="1"/>
</calcChain>
</file>

<file path=xl/sharedStrings.xml><?xml version="1.0" encoding="utf-8"?>
<sst xmlns="http://schemas.openxmlformats.org/spreadsheetml/2006/main" count="62" uniqueCount="41">
  <si>
    <t>Proyecto escenario</t>
  </si>
  <si>
    <t>Flujos netos de caja (FNC)</t>
  </si>
  <si>
    <t>Inversión inicial (K€)</t>
  </si>
  <si>
    <t>1+2</t>
  </si>
  <si>
    <t>3+4</t>
  </si>
  <si>
    <t>1+2+3+4</t>
  </si>
  <si>
    <t>Interés(%)</t>
  </si>
  <si>
    <t>Año 2</t>
  </si>
  <si>
    <t>Año 1</t>
  </si>
  <si>
    <t>Año 3</t>
  </si>
  <si>
    <t>Año 4</t>
  </si>
  <si>
    <t>Año 5</t>
  </si>
  <si>
    <t>Inversiones</t>
  </si>
  <si>
    <t>Flujo acumulado</t>
  </si>
  <si>
    <t>Beneficio acumulado (BA) K€</t>
  </si>
  <si>
    <t>Proyecto</t>
  </si>
  <si>
    <t>Cálculo del BET</t>
  </si>
  <si>
    <t>último año &lt; 0</t>
  </si>
  <si>
    <t>1er año &gt; 0</t>
  </si>
  <si>
    <t>cifra &lt; 0</t>
  </si>
  <si>
    <t>cifra &gt; 0</t>
  </si>
  <si>
    <t>BET (días)</t>
  </si>
  <si>
    <t>BET (años)</t>
  </si>
  <si>
    <t>BET (años + meses)</t>
  </si>
  <si>
    <t>último año &lt;  0</t>
  </si>
  <si>
    <t>CE</t>
  </si>
  <si>
    <t>1+2 (I)</t>
  </si>
  <si>
    <t>3+4 (I)</t>
  </si>
  <si>
    <t>1+2+3+4 (I)</t>
  </si>
  <si>
    <t>1+2 (G)</t>
  </si>
  <si>
    <t>3+4 (G)</t>
  </si>
  <si>
    <t>1+2+3+4 (G)</t>
  </si>
  <si>
    <t>Cálculo cifra de equilibrio</t>
  </si>
  <si>
    <t>COSTES</t>
  </si>
  <si>
    <t>ROI</t>
  </si>
  <si>
    <t>ROI/COSTES</t>
  </si>
  <si>
    <t>INGRESOS</t>
  </si>
  <si>
    <t>GASTOS</t>
  </si>
  <si>
    <t>RI</t>
  </si>
  <si>
    <t>VAN (K€)</t>
  </si>
  <si>
    <t>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</si>
</sst>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/>
    <xf numFmtId="0" fontId="3" fillId="5" borderId="1" xfId="0" applyFont="1" applyFill="1" applyBorder="1"/>
    <xf numFmtId="0" fontId="3" fillId="4" borderId="1" xfId="0" applyFont="1" applyFill="1" applyBorder="1"/>
    <xf numFmtId="0" fontId="0" fillId="2" borderId="1" xfId="0" applyFill="1" applyBorder="1"/>
    <xf numFmtId="0" fontId="0" fillId="6" borderId="1" xfId="0" applyFill="1" applyBorder="1"/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N52"/>
  <sheetViews>
    <sheetView tabSelected="1" topLeftCell="D17" zoomScale="110" zoomScaleNormal="110" workbookViewId="0">
      <selection activeCell="H32" sqref="H32"/>
    </sheetView>
  </sheetViews>
  <sheetFormatPr baseColWidth="10" defaultColWidth="9.140625" defaultRowHeight="15" x14ac:dyDescent="0.25"/>
  <cols>
    <col min="2" max="2" width="14.42578125" customWidth="1"/>
    <col min="3" max="3" width="16.42578125" customWidth="1"/>
    <col min="4" max="4" width="17" customWidth="1"/>
    <col min="5" max="5" width="15.7109375" customWidth="1"/>
    <col min="6" max="6" width="17.7109375" customWidth="1"/>
    <col min="7" max="7" width="14.5703125" customWidth="1"/>
    <col min="8" max="8" width="18.42578125" customWidth="1"/>
    <col min="9" max="9" width="14.28515625" customWidth="1"/>
    <col min="10" max="10" width="17.42578125" customWidth="1"/>
    <col min="11" max="11" width="17.7109375" customWidth="1"/>
    <col min="12" max="12" width="17.85546875" customWidth="1"/>
    <col min="13" max="13" width="15.140625" customWidth="1"/>
    <col min="14" max="14" width="18.140625" customWidth="1"/>
    <col min="15" max="15" width="12" customWidth="1"/>
    <col min="16" max="16" width="15" customWidth="1"/>
    <col min="17" max="17" width="9.85546875" customWidth="1"/>
  </cols>
  <sheetData>
    <row r="4" spans="4:14" ht="16.5" customHeight="1" x14ac:dyDescent="0.25">
      <c r="D4" s="18" t="s">
        <v>0</v>
      </c>
      <c r="E4" s="1" t="s">
        <v>2</v>
      </c>
      <c r="F4" s="1" t="s">
        <v>1</v>
      </c>
      <c r="G4" s="1" t="s">
        <v>2</v>
      </c>
      <c r="H4" s="1" t="s">
        <v>1</v>
      </c>
      <c r="I4" s="1" t="s">
        <v>2</v>
      </c>
      <c r="J4" s="10" t="s">
        <v>1</v>
      </c>
      <c r="K4" s="1" t="s">
        <v>2</v>
      </c>
      <c r="L4" s="1" t="s">
        <v>1</v>
      </c>
      <c r="M4" s="1" t="s">
        <v>2</v>
      </c>
      <c r="N4" s="1" t="s">
        <v>1</v>
      </c>
    </row>
    <row r="5" spans="4:14" x14ac:dyDescent="0.25">
      <c r="D5" s="18"/>
      <c r="E5" s="5" t="s">
        <v>8</v>
      </c>
      <c r="F5" s="5"/>
      <c r="G5" s="5" t="s">
        <v>7</v>
      </c>
      <c r="H5" s="5"/>
      <c r="I5" s="5" t="s">
        <v>9</v>
      </c>
      <c r="J5" s="5"/>
      <c r="K5" s="5" t="s">
        <v>10</v>
      </c>
      <c r="L5" s="5"/>
      <c r="M5" s="5" t="s">
        <v>11</v>
      </c>
      <c r="N5" s="5"/>
    </row>
    <row r="6" spans="4:14" x14ac:dyDescent="0.25">
      <c r="D6" s="2" t="s">
        <v>3</v>
      </c>
      <c r="E6" s="2">
        <v>10000</v>
      </c>
      <c r="F6" s="2"/>
      <c r="G6" s="2"/>
      <c r="H6" s="2">
        <v>5000</v>
      </c>
      <c r="I6" s="2"/>
      <c r="J6" s="2">
        <v>5000</v>
      </c>
      <c r="K6" s="2"/>
      <c r="L6" s="2">
        <v>5000</v>
      </c>
      <c r="M6" s="2"/>
      <c r="N6" s="2">
        <v>5000</v>
      </c>
    </row>
    <row r="7" spans="4:14" x14ac:dyDescent="0.25">
      <c r="D7" s="2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spans="4:14" x14ac:dyDescent="0.25"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4:14" x14ac:dyDescent="0.25">
      <c r="D9" s="2" t="s">
        <v>6</v>
      </c>
      <c r="E9" s="3"/>
      <c r="F9" s="2"/>
      <c r="G9" s="4">
        <v>0.1</v>
      </c>
      <c r="H9" s="2"/>
      <c r="I9" s="4">
        <v>0.1</v>
      </c>
      <c r="J9" s="2"/>
      <c r="K9" s="4">
        <v>0.1</v>
      </c>
      <c r="L9" s="2"/>
      <c r="M9" s="4">
        <v>0.1</v>
      </c>
      <c r="N9" s="2"/>
    </row>
    <row r="13" spans="4:14" x14ac:dyDescent="0.25">
      <c r="D13" s="6" t="s">
        <v>12</v>
      </c>
      <c r="E13" s="8" t="s">
        <v>13</v>
      </c>
      <c r="F13" s="15" t="s">
        <v>14</v>
      </c>
      <c r="G13" s="15"/>
      <c r="H13" s="15"/>
      <c r="I13" s="15"/>
    </row>
    <row r="14" spans="4:14" x14ac:dyDescent="0.25">
      <c r="D14" s="7"/>
      <c r="E14" s="7"/>
      <c r="F14" s="9" t="s">
        <v>8</v>
      </c>
      <c r="G14" s="9" t="s">
        <v>7</v>
      </c>
      <c r="H14" s="9" t="s">
        <v>9</v>
      </c>
      <c r="I14" s="9" t="s">
        <v>10</v>
      </c>
    </row>
    <row r="15" spans="4:14" x14ac:dyDescent="0.25">
      <c r="D15" s="2"/>
      <c r="E15" s="2"/>
      <c r="F15" s="2"/>
      <c r="G15" s="2"/>
      <c r="H15" s="2"/>
      <c r="I15" s="2"/>
    </row>
    <row r="16" spans="4:14" x14ac:dyDescent="0.25">
      <c r="D16" s="2"/>
      <c r="E16" s="2"/>
      <c r="F16" s="2"/>
      <c r="G16" s="2"/>
      <c r="H16" s="2"/>
      <c r="I16" s="2"/>
    </row>
    <row r="17" spans="4:11" x14ac:dyDescent="0.25">
      <c r="D17" s="2"/>
      <c r="E17" s="2"/>
      <c r="F17" s="2"/>
      <c r="G17" s="2"/>
      <c r="H17" s="2"/>
      <c r="I17" s="2"/>
    </row>
    <row r="18" spans="4:11" x14ac:dyDescent="0.25">
      <c r="D18" s="2"/>
      <c r="E18" s="2"/>
      <c r="F18" s="2"/>
      <c r="G18" s="2"/>
      <c r="H18" s="2"/>
      <c r="I18" s="2"/>
    </row>
    <row r="22" spans="4:11" x14ac:dyDescent="0.25">
      <c r="D22" s="16" t="s">
        <v>16</v>
      </c>
      <c r="E22" s="16"/>
      <c r="F22" s="16"/>
      <c r="G22" s="16"/>
      <c r="H22" s="16"/>
      <c r="I22" s="16"/>
      <c r="J22" s="16"/>
      <c r="K22" s="16"/>
    </row>
    <row r="23" spans="4:11" x14ac:dyDescent="0.25">
      <c r="D23" s="11" t="s">
        <v>0</v>
      </c>
      <c r="E23" s="12" t="s">
        <v>17</v>
      </c>
      <c r="F23" s="12" t="s">
        <v>18</v>
      </c>
      <c r="G23" s="12" t="s">
        <v>19</v>
      </c>
      <c r="H23" s="12" t="s">
        <v>20</v>
      </c>
      <c r="I23" s="12" t="s">
        <v>21</v>
      </c>
      <c r="J23" s="12" t="s">
        <v>22</v>
      </c>
      <c r="K23" s="12" t="s">
        <v>23</v>
      </c>
    </row>
    <row r="24" spans="4:11" x14ac:dyDescent="0.25">
      <c r="D24" s="2" t="s">
        <v>3</v>
      </c>
      <c r="E24" s="4">
        <v>2</v>
      </c>
      <c r="F24" s="4">
        <v>3</v>
      </c>
      <c r="G24" s="4">
        <v>-4</v>
      </c>
      <c r="H24" s="4">
        <v>2072</v>
      </c>
      <c r="I24" s="2">
        <f>((-G24*365)/(H24-G24))+2*365</f>
        <v>730.7032755298651</v>
      </c>
      <c r="J24" s="2">
        <f>I24/365</f>
        <v>2.0019267822736029</v>
      </c>
      <c r="K24" s="2"/>
    </row>
    <row r="25" spans="4:11" x14ac:dyDescent="0.25">
      <c r="D25" s="2" t="s">
        <v>4</v>
      </c>
      <c r="E25" s="4"/>
      <c r="F25" s="4"/>
      <c r="G25" s="4"/>
      <c r="H25" s="4"/>
      <c r="I25" s="2"/>
      <c r="J25" s="2"/>
      <c r="K25" s="2"/>
    </row>
    <row r="26" spans="4:11" x14ac:dyDescent="0.25">
      <c r="D26" s="2" t="s">
        <v>5</v>
      </c>
      <c r="E26" s="2"/>
      <c r="F26" s="2"/>
      <c r="G26" s="2"/>
      <c r="H26" s="4"/>
      <c r="I26" s="2"/>
      <c r="J26" s="2"/>
      <c r="K26" s="2"/>
    </row>
    <row r="30" spans="4:11" x14ac:dyDescent="0.25">
      <c r="D30" s="17" t="s">
        <v>32</v>
      </c>
      <c r="E30" s="17"/>
      <c r="F30" s="17"/>
      <c r="G30" s="17"/>
      <c r="H30" s="17"/>
      <c r="I30" s="17"/>
    </row>
    <row r="31" spans="4:11" x14ac:dyDescent="0.25">
      <c r="D31" s="13" t="s">
        <v>15</v>
      </c>
      <c r="E31" s="13" t="s">
        <v>24</v>
      </c>
      <c r="F31" s="13" t="s">
        <v>18</v>
      </c>
      <c r="G31" s="13" t="s">
        <v>19</v>
      </c>
      <c r="H31" s="13" t="s">
        <v>20</v>
      </c>
      <c r="I31" s="13" t="s">
        <v>25</v>
      </c>
    </row>
    <row r="32" spans="4:11" x14ac:dyDescent="0.25">
      <c r="D32" s="2" t="s">
        <v>26</v>
      </c>
      <c r="E32" s="13">
        <v>2</v>
      </c>
      <c r="F32" s="13">
        <v>3</v>
      </c>
      <c r="G32" s="13">
        <v>1000</v>
      </c>
      <c r="H32" s="13">
        <v>5000</v>
      </c>
      <c r="I32" s="13">
        <f>(J24-2)*(H32-G32)+G32</f>
        <v>1007.7071290944115</v>
      </c>
    </row>
    <row r="33" spans="4:9" x14ac:dyDescent="0.25">
      <c r="D33" s="2" t="s">
        <v>29</v>
      </c>
      <c r="E33" s="13"/>
      <c r="F33" s="13"/>
      <c r="G33" s="13"/>
      <c r="H33" s="13"/>
      <c r="I33" s="13"/>
    </row>
    <row r="34" spans="4:9" x14ac:dyDescent="0.25">
      <c r="D34" s="2" t="s">
        <v>27</v>
      </c>
      <c r="E34" s="13"/>
      <c r="F34" s="13"/>
      <c r="G34" s="13"/>
      <c r="H34" s="13"/>
      <c r="I34" s="13"/>
    </row>
    <row r="35" spans="4:9" x14ac:dyDescent="0.25">
      <c r="D35" s="2" t="s">
        <v>30</v>
      </c>
      <c r="E35" s="13"/>
      <c r="F35" s="13"/>
      <c r="G35" s="13"/>
      <c r="H35" s="13"/>
      <c r="I35" s="13"/>
    </row>
    <row r="36" spans="4:9" x14ac:dyDescent="0.25">
      <c r="D36" s="2" t="s">
        <v>28</v>
      </c>
      <c r="E36" s="13"/>
      <c r="F36" s="13"/>
      <c r="G36" s="13"/>
      <c r="H36" s="13"/>
      <c r="I36" s="13"/>
    </row>
    <row r="37" spans="4:9" x14ac:dyDescent="0.25">
      <c r="D37" s="2" t="s">
        <v>31</v>
      </c>
      <c r="E37" s="13"/>
      <c r="F37" s="13"/>
      <c r="G37" s="13"/>
      <c r="H37" s="13"/>
      <c r="I37" s="13"/>
    </row>
    <row r="41" spans="4:9" x14ac:dyDescent="0.25">
      <c r="D41" s="14" t="s">
        <v>33</v>
      </c>
      <c r="E41" s="14" t="s">
        <v>34</v>
      </c>
      <c r="F41" s="14" t="s">
        <v>35</v>
      </c>
      <c r="G41" s="14" t="s">
        <v>36</v>
      </c>
      <c r="H41" s="14" t="s">
        <v>37</v>
      </c>
      <c r="I41" s="14" t="s">
        <v>38</v>
      </c>
    </row>
    <row r="42" spans="4:9" x14ac:dyDescent="0.25">
      <c r="D42" s="2"/>
      <c r="E42" s="2"/>
      <c r="F42" s="2"/>
      <c r="G42" s="2"/>
      <c r="H42" s="2"/>
      <c r="I42" s="2"/>
    </row>
    <row r="43" spans="4:9" x14ac:dyDescent="0.25">
      <c r="D43" s="2"/>
      <c r="E43" s="2"/>
      <c r="F43" s="2"/>
      <c r="G43" s="2"/>
      <c r="H43" s="2"/>
      <c r="I43" s="2"/>
    </row>
    <row r="44" spans="4:9" x14ac:dyDescent="0.25">
      <c r="D44" s="2"/>
      <c r="E44" s="2"/>
      <c r="F44" s="2"/>
      <c r="G44" s="2"/>
      <c r="H44" s="2"/>
      <c r="I44" s="2"/>
    </row>
    <row r="48" spans="4:9" x14ac:dyDescent="0.25">
      <c r="D48" s="14" t="s">
        <v>39</v>
      </c>
      <c r="E48" s="14" t="s">
        <v>34</v>
      </c>
      <c r="F48" s="14" t="s">
        <v>40</v>
      </c>
      <c r="G48" s="14" t="s">
        <v>38</v>
      </c>
    </row>
    <row r="49" spans="4:7" x14ac:dyDescent="0.25">
      <c r="D49" s="2">
        <f>-E6+(H6/(1 + G9)) + (J6/((1 + I9)^2))+(L6/((1+K9)^3))+(N6/((1+M9)^4))</f>
        <v>5849.3272317464616</v>
      </c>
      <c r="E49" s="2"/>
      <c r="F49" s="2"/>
      <c r="G49" s="2"/>
    </row>
    <row r="50" spans="4:7" x14ac:dyDescent="0.25">
      <c r="D50" s="2"/>
      <c r="E50" s="2"/>
      <c r="F50" s="2"/>
      <c r="G50" s="2"/>
    </row>
    <row r="51" spans="4:7" x14ac:dyDescent="0.25">
      <c r="D51" s="2"/>
      <c r="E51" s="2"/>
      <c r="F51" s="2"/>
      <c r="G51" s="2"/>
    </row>
    <row r="52" spans="4:7" x14ac:dyDescent="0.25">
      <c r="D52" s="2"/>
      <c r="E52" s="2"/>
      <c r="F52" s="2"/>
      <c r="G52" s="2"/>
    </row>
  </sheetData>
  <mergeCells count="4">
    <mergeCell ref="F13:I13"/>
    <mergeCell ref="D22:K22"/>
    <mergeCell ref="D30:I30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2015-06-05T18:19:34Z</dcterms:created>
  <dcterms:modified xsi:type="dcterms:W3CDTF">2020-03-07T19:31:42Z</dcterms:modified>
</cp:coreProperties>
</file>