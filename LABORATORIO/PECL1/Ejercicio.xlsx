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GitHub\Gestion-de-Proyectos\LABORATORIO\PECL1\"/>
    </mc:Choice>
  </mc:AlternateContent>
  <xr:revisionPtr revIDLastSave="0" documentId="13_ncr:1_{76A58C89-A7CA-4012-8F03-46DF0062919B}" xr6:coauthVersionLast="44" xr6:coauthVersionMax="44" xr10:uidLastSave="{00000000-0000-0000-0000-000000000000}"/>
  <bookViews>
    <workbookView xWindow="-120" yWindow="-120" windowWidth="29040" windowHeight="15840" xr2:uid="{3EAC4CDE-D374-488D-8C8A-A6FF80133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9" i="1" l="1"/>
  <c r="O90" i="1"/>
  <c r="O88" i="1"/>
  <c r="N89" i="1"/>
  <c r="Q58" i="1"/>
  <c r="R58" i="1" s="1"/>
  <c r="P58" i="1"/>
  <c r="O58" i="1"/>
  <c r="M90" i="1"/>
  <c r="V52" i="1"/>
  <c r="T52" i="1"/>
  <c r="R52" i="1"/>
  <c r="P52" i="1"/>
  <c r="N52" i="1"/>
  <c r="M88" i="1"/>
  <c r="M89" i="1"/>
  <c r="V51" i="1"/>
  <c r="T51" i="1"/>
  <c r="R51" i="1"/>
  <c r="P51" i="1"/>
  <c r="N51" i="1"/>
  <c r="V50" i="1"/>
  <c r="T50" i="1"/>
  <c r="R50" i="1"/>
  <c r="P50" i="1"/>
  <c r="N50" i="1"/>
  <c r="S52" i="1"/>
  <c r="S51" i="1"/>
  <c r="Q52" i="1"/>
  <c r="Q51" i="1"/>
  <c r="M52" i="1"/>
  <c r="M51" i="1"/>
  <c r="S50" i="1"/>
  <c r="Q50" i="1"/>
  <c r="M50" i="1"/>
  <c r="G114" i="1" l="1"/>
  <c r="H114" i="1" s="1"/>
  <c r="I114" i="1" s="1"/>
  <c r="G113" i="1"/>
  <c r="H113" i="1" s="1"/>
  <c r="I113" i="1" s="1"/>
  <c r="F113" i="1"/>
  <c r="F114" i="1"/>
  <c r="E113" i="1"/>
  <c r="E114" i="1"/>
  <c r="G112" i="1"/>
  <c r="H112" i="1" s="1"/>
  <c r="I112" i="1" s="1"/>
  <c r="F112" i="1"/>
  <c r="E112" i="1"/>
  <c r="F109" i="1"/>
  <c r="G109" i="1"/>
  <c r="H109" i="1"/>
  <c r="I109" i="1"/>
  <c r="E109" i="1"/>
  <c r="F108" i="1"/>
  <c r="G108" i="1"/>
  <c r="H108" i="1"/>
  <c r="I108" i="1"/>
  <c r="E108" i="1"/>
  <c r="F107" i="1"/>
  <c r="G107" i="1"/>
  <c r="H107" i="1"/>
  <c r="I107" i="1"/>
  <c r="E107" i="1"/>
  <c r="F104" i="1"/>
  <c r="G104" i="1"/>
  <c r="H104" i="1"/>
  <c r="I104" i="1"/>
  <c r="E104" i="1"/>
  <c r="F103" i="1"/>
  <c r="G103" i="1"/>
  <c r="H103" i="1"/>
  <c r="I103" i="1"/>
  <c r="E103" i="1"/>
  <c r="F102" i="1"/>
  <c r="G102" i="1"/>
  <c r="H102" i="1"/>
  <c r="I102" i="1"/>
  <c r="E102" i="1"/>
  <c r="F99" i="1"/>
  <c r="G99" i="1"/>
  <c r="H99" i="1"/>
  <c r="I99" i="1"/>
  <c r="E99" i="1"/>
  <c r="F98" i="1"/>
  <c r="G98" i="1"/>
  <c r="H98" i="1"/>
  <c r="I98" i="1"/>
  <c r="E98" i="1"/>
  <c r="F97" i="1"/>
  <c r="G97" i="1"/>
  <c r="H97" i="1"/>
  <c r="I97" i="1"/>
  <c r="E97" i="1"/>
  <c r="F94" i="1"/>
  <c r="G94" i="1"/>
  <c r="H94" i="1"/>
  <c r="I94" i="1"/>
  <c r="E94" i="1"/>
  <c r="F93" i="1"/>
  <c r="G93" i="1"/>
  <c r="H93" i="1"/>
  <c r="I93" i="1"/>
  <c r="E93" i="1"/>
  <c r="F92" i="1"/>
  <c r="G92" i="1"/>
  <c r="H92" i="1"/>
  <c r="I92" i="1"/>
  <c r="E92" i="1"/>
  <c r="O44" i="1"/>
  <c r="P44" i="1"/>
  <c r="Q44" i="1"/>
  <c r="N44" i="1"/>
  <c r="M44" i="1"/>
  <c r="O43" i="1"/>
  <c r="P43" i="1"/>
  <c r="Q43" i="1"/>
  <c r="N43" i="1"/>
  <c r="M43" i="1"/>
  <c r="O42" i="1"/>
  <c r="P42" i="1"/>
  <c r="Q42" i="1"/>
  <c r="N42" i="1"/>
  <c r="M42" i="1"/>
  <c r="H58" i="1"/>
  <c r="I58" i="1" s="1"/>
  <c r="G58" i="1"/>
  <c r="H57" i="1"/>
  <c r="I57" i="1" s="1"/>
  <c r="G57" i="1"/>
  <c r="H56" i="1"/>
  <c r="I56" i="1" s="1"/>
  <c r="G56" i="1"/>
  <c r="I55" i="1"/>
  <c r="H55" i="1"/>
  <c r="P41" i="1" s="1"/>
  <c r="G55" i="1"/>
  <c r="O41" i="1" s="1"/>
  <c r="F55" i="1"/>
  <c r="M41" i="1"/>
  <c r="Q41" i="1" l="1"/>
  <c r="F89" i="1"/>
  <c r="G89" i="1"/>
  <c r="H89" i="1"/>
  <c r="I89" i="1"/>
  <c r="E89" i="1"/>
  <c r="F88" i="1"/>
  <c r="G88" i="1"/>
  <c r="H88" i="1"/>
  <c r="I88" i="1"/>
  <c r="E88" i="1"/>
  <c r="F77" i="1"/>
  <c r="G77" i="1"/>
  <c r="H77" i="1"/>
  <c r="I77" i="1"/>
  <c r="E77" i="1"/>
  <c r="F76" i="1"/>
  <c r="G76" i="1"/>
  <c r="H76" i="1"/>
  <c r="I76" i="1"/>
  <c r="E76" i="1"/>
  <c r="Q36" i="1"/>
  <c r="P36" i="1"/>
  <c r="O36" i="1"/>
  <c r="N36" i="1"/>
  <c r="M36" i="1"/>
  <c r="Q35" i="1"/>
  <c r="P35" i="1"/>
  <c r="O35" i="1"/>
  <c r="N35" i="1"/>
  <c r="M35" i="1"/>
  <c r="Q37" i="1"/>
  <c r="P37" i="1"/>
  <c r="O37" i="1"/>
  <c r="O38" i="1" s="1"/>
  <c r="N37" i="1"/>
  <c r="M37" i="1"/>
  <c r="Q34" i="1"/>
  <c r="P34" i="1"/>
  <c r="O34" i="1"/>
  <c r="N34" i="1"/>
  <c r="M34" i="1"/>
  <c r="Q33" i="1"/>
  <c r="P33" i="1"/>
  <c r="O33" i="1"/>
  <c r="N33" i="1"/>
  <c r="M33" i="1"/>
  <c r="Q32" i="1"/>
  <c r="P32" i="1"/>
  <c r="O32" i="1"/>
  <c r="N32" i="1"/>
  <c r="M32" i="1"/>
  <c r="Q31" i="1"/>
  <c r="P31" i="1"/>
  <c r="O31" i="1"/>
  <c r="N31" i="1"/>
  <c r="M31" i="1"/>
  <c r="Q30" i="1"/>
  <c r="Q38" i="1" s="1"/>
  <c r="P30" i="1"/>
  <c r="P38" i="1" s="1"/>
  <c r="O30" i="1"/>
  <c r="N30" i="1"/>
  <c r="N38" i="1" s="1"/>
  <c r="M30" i="1"/>
  <c r="M38" i="1" s="1"/>
  <c r="I48" i="1" l="1"/>
  <c r="I47" i="1"/>
  <c r="I41" i="1"/>
  <c r="I44" i="1"/>
  <c r="I43" i="1"/>
  <c r="I42" i="1"/>
  <c r="I38" i="1"/>
  <c r="I37" i="1"/>
  <c r="I36" i="1"/>
  <c r="I35" i="1"/>
  <c r="I32" i="1"/>
  <c r="I31" i="1"/>
  <c r="I30" i="1"/>
  <c r="I33" i="1" l="1"/>
  <c r="E55" i="1" s="1"/>
  <c r="I45" i="1"/>
  <c r="E57" i="1" s="1"/>
  <c r="I39" i="1"/>
  <c r="E56" i="1" s="1"/>
  <c r="I49" i="1"/>
  <c r="E58" i="1" s="1"/>
  <c r="G7" i="1"/>
  <c r="H7" i="1"/>
  <c r="I7" i="1"/>
  <c r="J7" i="1"/>
  <c r="K7" i="1"/>
  <c r="G11" i="1"/>
  <c r="H11" i="1"/>
  <c r="I11" i="1"/>
  <c r="J11" i="1"/>
  <c r="K11" i="1"/>
  <c r="G20" i="1"/>
  <c r="H20" i="1"/>
  <c r="I20" i="1"/>
  <c r="J20" i="1"/>
  <c r="K20" i="1"/>
  <c r="E65" i="1" l="1"/>
  <c r="E86" i="1" s="1"/>
  <c r="E63" i="1"/>
  <c r="E84" i="1" s="1"/>
  <c r="G64" i="1"/>
  <c r="G85" i="1" s="1"/>
  <c r="F56" i="1"/>
  <c r="E64" i="1"/>
  <c r="E85" i="1" s="1"/>
  <c r="F58" i="1"/>
  <c r="F57" i="1"/>
  <c r="I50" i="1"/>
  <c r="H22" i="1"/>
  <c r="I22" i="1"/>
  <c r="K22" i="1"/>
  <c r="J22" i="1"/>
  <c r="G22" i="1"/>
  <c r="I64" i="1" l="1"/>
  <c r="I85" i="1" s="1"/>
  <c r="H64" i="1"/>
  <c r="H85" i="1" s="1"/>
  <c r="H63" i="1"/>
  <c r="H84" i="1" s="1"/>
  <c r="H65" i="1"/>
  <c r="H86" i="1" s="1"/>
  <c r="I65" i="1"/>
  <c r="I86" i="1" s="1"/>
  <c r="I63" i="1"/>
  <c r="I84" i="1" s="1"/>
  <c r="F64" i="1"/>
  <c r="F85" i="1" s="1"/>
  <c r="G63" i="1"/>
  <c r="G84" i="1" s="1"/>
  <c r="G65" i="1"/>
  <c r="G86" i="1" s="1"/>
  <c r="F65" i="1" l="1"/>
  <c r="F86" i="1" s="1"/>
  <c r="F63" i="1"/>
  <c r="F84" i="1" s="1"/>
  <c r="N41" i="1"/>
</calcChain>
</file>

<file path=xl/sharedStrings.xml><?xml version="1.0" encoding="utf-8"?>
<sst xmlns="http://schemas.openxmlformats.org/spreadsheetml/2006/main" count="184" uniqueCount="97">
  <si>
    <t>INVERSIONES</t>
  </si>
  <si>
    <t>AÑO 1</t>
  </si>
  <si>
    <t>AÑO 2</t>
  </si>
  <si>
    <t>AÑO 3</t>
  </si>
  <si>
    <t>AÑO 4</t>
  </si>
  <si>
    <t>AÑO 5</t>
  </si>
  <si>
    <t>1. Gastos de constitución y primer establecimiento</t>
  </si>
  <si>
    <t>Gastos de constitución</t>
  </si>
  <si>
    <t>Gastos de primer establecimiento</t>
  </si>
  <si>
    <t>Total de Gastos de constitución y primer establecimiento</t>
  </si>
  <si>
    <t>2. Inmovilizaciones Inmateriales</t>
  </si>
  <si>
    <t>Aplicaciones informáticas</t>
  </si>
  <si>
    <t>Total de Inmovilización Inmateriales</t>
  </si>
  <si>
    <t>3. Inmovilizaciones Materiales</t>
  </si>
  <si>
    <t xml:space="preserve">Construcciones </t>
  </si>
  <si>
    <t>Maquinaria</t>
  </si>
  <si>
    <t>Mobiliario</t>
  </si>
  <si>
    <t>Elementos de transporte</t>
  </si>
  <si>
    <t>Total de Inmovilizaciones Materiales</t>
  </si>
  <si>
    <t>Total de Inversiones</t>
  </si>
  <si>
    <t>SALUD ESTRUCTURAL Y CONTROL DE EDIFICIOS</t>
  </si>
  <si>
    <t>Precio medio</t>
  </si>
  <si>
    <t>Unidades vendidas</t>
  </si>
  <si>
    <t>Ingresos</t>
  </si>
  <si>
    <t>Sistemas de detección de presencia y sensores de nivel de agua y temperatura</t>
  </si>
  <si>
    <t>Sensores de vibración e impacto</t>
  </si>
  <si>
    <t>Sistemas de contol de unidades de CC (válvulas de riego, termostatos, sistemas de iluminación, motores, PLC, etc)</t>
  </si>
  <si>
    <t>AGRICULTURA DE PRECISIÓN</t>
  </si>
  <si>
    <t>Sistemas de riego</t>
  </si>
  <si>
    <t>Estaciones meteorológicas</t>
  </si>
  <si>
    <t>Sistemas de gestión de invernadero</t>
  </si>
  <si>
    <t>Sistemas de detección de crecimiento y diámetro del fruto</t>
  </si>
  <si>
    <t>Unidades vendidos</t>
  </si>
  <si>
    <t>TOTAL</t>
  </si>
  <si>
    <t>CONTROL MEDIOAMBIENTAL</t>
  </si>
  <si>
    <t>Sistemas de monitorización de la contaminación de la ciudad</t>
  </si>
  <si>
    <t>Sistema de control de emisiones de granjas y criaderos</t>
  </si>
  <si>
    <t>Sistemas de detección de incendios forestales</t>
  </si>
  <si>
    <t>Control de procesos químicos e industriales</t>
  </si>
  <si>
    <t>Sistema de detección de establecimientos gratuitos al aire libre / cubierto</t>
  </si>
  <si>
    <t>Sistemas de información de estacionamiento disponible</t>
  </si>
  <si>
    <t>GESTION DE TRÁFICO</t>
  </si>
  <si>
    <t>PREVISION DE INGRESOS</t>
  </si>
  <si>
    <t>SALUD ESTRUCTURAL Y CONTROL DE EDIFCIOS</t>
  </si>
  <si>
    <t>GESTION DE TRAFICO</t>
  </si>
  <si>
    <t>ESCENARIO 1 (1+4)</t>
  </si>
  <si>
    <t>ESCENARIO 2 (2+3)</t>
  </si>
  <si>
    <t>ESCENARIO 3 (1+2+3+4)</t>
  </si>
  <si>
    <t>Gastos de personal</t>
  </si>
  <si>
    <t>Alquileres</t>
  </si>
  <si>
    <t>Gastos generales</t>
  </si>
  <si>
    <t>Seguros y tributos</t>
  </si>
  <si>
    <t>Aprovisionamientos</t>
  </si>
  <si>
    <t>Otros</t>
  </si>
  <si>
    <t>Amortizaciones</t>
  </si>
  <si>
    <t>COSTES FIJOS (€)</t>
  </si>
  <si>
    <t xml:space="preserve">AÑO 2 </t>
  </si>
  <si>
    <t>INGRESOS TOTALES</t>
  </si>
  <si>
    <t>COSTES FIJOS</t>
  </si>
  <si>
    <t>AMORTIZACIONES</t>
  </si>
  <si>
    <t>GASTOS VARIABLES</t>
  </si>
  <si>
    <t>BENEFICIOS</t>
  </si>
  <si>
    <t>IMPUESTOS</t>
  </si>
  <si>
    <t>BENEFICIOS NETOS</t>
  </si>
  <si>
    <t>BENEFICIOS ACUMULADOS</t>
  </si>
  <si>
    <t>Año 1</t>
  </si>
  <si>
    <t>Año 2</t>
  </si>
  <si>
    <t>Año 3</t>
  </si>
  <si>
    <t>Año 4</t>
  </si>
  <si>
    <t>Año 5</t>
  </si>
  <si>
    <t>Equipos informáticos</t>
  </si>
  <si>
    <t>Equipos para procesos de prototipado</t>
  </si>
  <si>
    <t>Total</t>
  </si>
  <si>
    <t>Previsión de costes variables</t>
  </si>
  <si>
    <t>Salud y control de edificios</t>
  </si>
  <si>
    <t>Agricultura de precisión</t>
  </si>
  <si>
    <t>Control medioambiental</t>
  </si>
  <si>
    <t>Gestión de tráfico</t>
  </si>
  <si>
    <t>Proyecto escenario</t>
  </si>
  <si>
    <t>Inversión inicial (K€)</t>
  </si>
  <si>
    <t>Flujos netos de caja (FNC)</t>
  </si>
  <si>
    <t>1+2</t>
  </si>
  <si>
    <t>3+4</t>
  </si>
  <si>
    <t>1+2+3+4</t>
  </si>
  <si>
    <t>Interés(%)</t>
  </si>
  <si>
    <t>VAN</t>
  </si>
  <si>
    <t>Cálculo del BET (Beneficio acumulado)</t>
  </si>
  <si>
    <t>último año &lt; 0</t>
  </si>
  <si>
    <t>1er año &gt; 0</t>
  </si>
  <si>
    <t>cifra &lt; 0</t>
  </si>
  <si>
    <t>cifra &gt; 0</t>
  </si>
  <si>
    <t>BET (días)</t>
  </si>
  <si>
    <t>BET (años)</t>
  </si>
  <si>
    <t>BET (años + meses)</t>
  </si>
  <si>
    <t>BET</t>
  </si>
  <si>
    <t>ROI</t>
  </si>
  <si>
    <t>Escenarios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</si>
</sst>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Border="1"/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8" borderId="1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6" borderId="1" xfId="0" applyFill="1" applyBorder="1"/>
    <xf numFmtId="0" fontId="0" fillId="18" borderId="1" xfId="0" applyFill="1" applyBorder="1"/>
    <xf numFmtId="0" fontId="0" fillId="0" borderId="0" xfId="0" applyAlignment="1">
      <alignment horizontal="left" vertical="center"/>
    </xf>
    <xf numFmtId="0" fontId="0" fillId="20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1" fillId="6" borderId="2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9" borderId="2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15" borderId="2" xfId="0" applyFill="1" applyBorder="1" applyAlignment="1">
      <alignment horizontal="left"/>
    </xf>
    <xf numFmtId="0" fontId="0" fillId="15" borderId="3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1" fillId="12" borderId="2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3" borderId="3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7" borderId="2" xfId="0" applyFill="1" applyBorder="1" applyAlignment="1">
      <alignment horizontal="left"/>
    </xf>
    <xf numFmtId="0" fontId="0" fillId="17" borderId="3" xfId="0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19" borderId="2" xfId="0" applyFont="1" applyFill="1" applyBorder="1" applyAlignment="1">
      <alignment horizontal="left"/>
    </xf>
    <xf numFmtId="0" fontId="1" fillId="19" borderId="3" xfId="0" applyFont="1" applyFill="1" applyBorder="1" applyAlignment="1">
      <alignment horizontal="left"/>
    </xf>
    <xf numFmtId="0" fontId="1" fillId="19" borderId="4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0" fillId="13" borderId="1" xfId="0" applyFill="1" applyBorder="1" applyAlignment="1">
      <alignment horizontal="center"/>
    </xf>
    <xf numFmtId="0" fontId="4" fillId="16" borderId="1" xfId="0" applyFont="1" applyFill="1" applyBorder="1"/>
    <xf numFmtId="0" fontId="0" fillId="2" borderId="1" xfId="0" applyFill="1" applyBorder="1" applyAlignment="1">
      <alignment horizontal="center"/>
    </xf>
    <xf numFmtId="0" fontId="5" fillId="2" borderId="1" xfId="0" applyFont="1" applyFill="1" applyBorder="1"/>
    <xf numFmtId="0" fontId="5" fillId="16" borderId="1" xfId="0" applyFont="1" applyFill="1" applyBorder="1"/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1. Gastos de constitución y primer establecimiento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(Hoja1!$G$7,Hoja1!$H$7,Hoja1!$I$7,Hoja1!$J$7,Hoja1!$K$7)</c:f>
              <c:numCache>
                <c:formatCode>General</c:formatCode>
                <c:ptCount val="5"/>
                <c:pt idx="0">
                  <c:v>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D65-4204-A7DD-C05D7CCE5991}"/>
            </c:ext>
          </c:extLst>
        </c:ser>
        <c:ser>
          <c:idx val="1"/>
          <c:order val="1"/>
          <c:tx>
            <c:strRef>
              <c:f>Hoja1!$B$9</c:f>
              <c:strCache>
                <c:ptCount val="1"/>
                <c:pt idx="0">
                  <c:v>2. Inmovilizaciones Inmateriales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(Hoja1!$G$11,Hoja1!$H$11,Hoja1!$J$11,Hoja1!$I$11,Hoja1!$K$11)</c:f>
              <c:numCache>
                <c:formatCode>General</c:formatCode>
                <c:ptCount val="5"/>
                <c:pt idx="0">
                  <c:v>2700</c:v>
                </c:pt>
                <c:pt idx="1">
                  <c:v>0</c:v>
                </c:pt>
                <c:pt idx="2">
                  <c:v>0</c:v>
                </c:pt>
                <c:pt idx="3">
                  <c:v>3600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D65-4204-A7DD-C05D7CCE5991}"/>
            </c:ext>
          </c:extLst>
        </c:ser>
        <c:ser>
          <c:idx val="2"/>
          <c:order val="2"/>
          <c:tx>
            <c:strRef>
              <c:f>Hoja1!$B$13</c:f>
              <c:strCache>
                <c:ptCount val="1"/>
                <c:pt idx="0">
                  <c:v>3. Inmovilizaciones Materiales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(Hoja1!$G$20,Hoja1!$H$20,Hoja1!$H$20,Hoja1!$I$20,Hoja1!$J$20,Hoja1!$K$20)</c:f>
              <c:numCache>
                <c:formatCode>General</c:formatCode>
                <c:ptCount val="6"/>
                <c:pt idx="0">
                  <c:v>43300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D65-4204-A7DD-C05D7CCE59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gapDepth val="75"/>
        <c:shape val="box"/>
        <c:axId val="1251616080"/>
        <c:axId val="1094884896"/>
        <c:axId val="0"/>
      </c:bar3DChart>
      <c:catAx>
        <c:axId val="125161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4884896"/>
        <c:crosses val="autoZero"/>
        <c:auto val="1"/>
        <c:lblAlgn val="ctr"/>
        <c:lblOffset val="100"/>
        <c:noMultiLvlLbl val="0"/>
      </c:catAx>
      <c:valAx>
        <c:axId val="10948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INVERSION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16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2</xdr:row>
      <xdr:rowOff>19049</xdr:rowOff>
    </xdr:from>
    <xdr:to>
      <xdr:col>20</xdr:col>
      <xdr:colOff>123825</xdr:colOff>
      <xdr:row>22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E269EE-C7B7-47E9-A2DB-CD3DAD7FC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7910-A5B9-4DC6-9781-64D99FA28BA6}">
  <dimension ref="B3:W114"/>
  <sheetViews>
    <sheetView tabSelected="1" zoomScale="80" zoomScaleNormal="80" workbookViewId="0">
      <selection activeCell="O81" sqref="O81"/>
    </sheetView>
  </sheetViews>
  <sheetFormatPr baseColWidth="10" defaultRowHeight="15" x14ac:dyDescent="0.25"/>
  <cols>
    <col min="5" max="5" width="11.85546875" bestFit="1" customWidth="1"/>
    <col min="7" max="7" width="12" customWidth="1"/>
    <col min="8" max="8" width="12.7109375" customWidth="1"/>
    <col min="9" max="9" width="12.28515625" customWidth="1"/>
    <col min="10" max="10" width="14.85546875" customWidth="1"/>
    <col min="11" max="11" width="12.140625" customWidth="1"/>
    <col min="12" max="12" width="35" customWidth="1"/>
    <col min="13" max="13" width="17.140625" customWidth="1"/>
    <col min="14" max="14" width="19.140625" customWidth="1"/>
    <col min="15" max="15" width="18" customWidth="1"/>
    <col min="16" max="16" width="21" customWidth="1"/>
    <col min="17" max="17" width="17.7109375" customWidth="1"/>
    <col min="18" max="18" width="21.140625" customWidth="1"/>
    <col min="19" max="19" width="22" customWidth="1"/>
    <col min="20" max="20" width="22.5703125" customWidth="1"/>
    <col min="21" max="21" width="18.42578125" customWidth="1"/>
    <col min="22" max="22" width="23" customWidth="1"/>
  </cols>
  <sheetData>
    <row r="3" spans="2:11" x14ac:dyDescent="0.25">
      <c r="B3" s="29" t="s">
        <v>0</v>
      </c>
      <c r="C3" s="29"/>
      <c r="D3" s="29"/>
      <c r="E3" s="29"/>
      <c r="F3" s="29"/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</row>
    <row r="4" spans="2:11" x14ac:dyDescent="0.25">
      <c r="B4" s="30" t="s">
        <v>6</v>
      </c>
      <c r="C4" s="30"/>
      <c r="D4" s="30"/>
      <c r="E4" s="30"/>
      <c r="F4" s="30"/>
      <c r="G4" s="30"/>
      <c r="H4" s="30"/>
      <c r="I4" s="30"/>
      <c r="J4" s="30"/>
      <c r="K4" s="30"/>
    </row>
    <row r="5" spans="2:11" x14ac:dyDescent="0.25">
      <c r="B5" s="27" t="s">
        <v>7</v>
      </c>
      <c r="C5" s="27"/>
      <c r="D5" s="27"/>
      <c r="E5" s="27"/>
      <c r="F5" s="27"/>
      <c r="G5" s="4">
        <v>1500</v>
      </c>
      <c r="H5" s="4"/>
      <c r="I5" s="4"/>
      <c r="J5" s="4"/>
      <c r="K5" s="4"/>
    </row>
    <row r="6" spans="2:11" x14ac:dyDescent="0.25">
      <c r="B6" s="27" t="s">
        <v>8</v>
      </c>
      <c r="C6" s="27"/>
      <c r="D6" s="27"/>
      <c r="E6" s="27"/>
      <c r="F6" s="27"/>
      <c r="G6" s="4">
        <v>2500</v>
      </c>
      <c r="H6" s="4"/>
      <c r="I6" s="4"/>
      <c r="J6" s="4"/>
      <c r="K6" s="4"/>
    </row>
    <row r="7" spans="2:11" x14ac:dyDescent="0.25">
      <c r="B7" s="28" t="s">
        <v>9</v>
      </c>
      <c r="C7" s="28"/>
      <c r="D7" s="28"/>
      <c r="E7" s="28"/>
      <c r="F7" s="28"/>
      <c r="G7" s="5">
        <f>SUM(G5,G6)</f>
        <v>4000</v>
      </c>
      <c r="H7" s="5">
        <f>SUM(H5,H6)</f>
        <v>0</v>
      </c>
      <c r="I7" s="5">
        <f>SUM(I5,I6)</f>
        <v>0</v>
      </c>
      <c r="J7" s="5">
        <f>SUM(J5,J6)</f>
        <v>0</v>
      </c>
      <c r="K7" s="5">
        <f>SUM(K5,K6)</f>
        <v>0</v>
      </c>
    </row>
    <row r="8" spans="2:11" x14ac:dyDescent="0.25"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2:11" x14ac:dyDescent="0.25">
      <c r="B9" s="30" t="s">
        <v>10</v>
      </c>
      <c r="C9" s="30"/>
      <c r="D9" s="30"/>
      <c r="E9" s="30"/>
      <c r="F9" s="30"/>
      <c r="G9" s="30"/>
      <c r="H9" s="30"/>
      <c r="I9" s="30"/>
      <c r="J9" s="30"/>
      <c r="K9" s="30"/>
    </row>
    <row r="10" spans="2:11" x14ac:dyDescent="0.25">
      <c r="B10" s="27" t="s">
        <v>11</v>
      </c>
      <c r="C10" s="27"/>
      <c r="D10" s="27"/>
      <c r="E10" s="27"/>
      <c r="F10" s="27"/>
      <c r="G10" s="4">
        <v>2700</v>
      </c>
      <c r="H10" s="4"/>
      <c r="I10" s="4">
        <v>3600</v>
      </c>
      <c r="J10" s="4"/>
      <c r="K10" s="4"/>
    </row>
    <row r="11" spans="2:11" x14ac:dyDescent="0.25">
      <c r="B11" s="28" t="s">
        <v>12</v>
      </c>
      <c r="C11" s="28"/>
      <c r="D11" s="28"/>
      <c r="E11" s="28"/>
      <c r="F11" s="28"/>
      <c r="G11" s="5">
        <f>SUM(G10)</f>
        <v>2700</v>
      </c>
      <c r="H11" s="5">
        <f>SUM(H10)</f>
        <v>0</v>
      </c>
      <c r="I11" s="5">
        <f>SUM(I10)</f>
        <v>3600</v>
      </c>
      <c r="J11" s="5">
        <f>SUM(J10)</f>
        <v>0</v>
      </c>
      <c r="K11" s="5">
        <f>SUM(K10)</f>
        <v>0</v>
      </c>
    </row>
    <row r="12" spans="2:11" x14ac:dyDescent="0.25"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2:11" x14ac:dyDescent="0.25">
      <c r="B13" s="30" t="s">
        <v>13</v>
      </c>
      <c r="C13" s="30"/>
      <c r="D13" s="30"/>
      <c r="E13" s="30"/>
      <c r="F13" s="30"/>
      <c r="G13" s="30"/>
      <c r="H13" s="30"/>
      <c r="I13" s="30"/>
      <c r="J13" s="30"/>
      <c r="K13" s="30"/>
    </row>
    <row r="14" spans="2:11" x14ac:dyDescent="0.25">
      <c r="B14" s="27" t="s">
        <v>14</v>
      </c>
      <c r="C14" s="27"/>
      <c r="D14" s="27"/>
      <c r="E14" s="27"/>
      <c r="F14" s="27"/>
      <c r="G14" s="4">
        <v>3000</v>
      </c>
      <c r="H14" s="4"/>
      <c r="I14" s="4"/>
      <c r="J14" s="4"/>
      <c r="K14" s="4"/>
    </row>
    <row r="15" spans="2:11" x14ac:dyDescent="0.25">
      <c r="B15" s="27" t="s">
        <v>15</v>
      </c>
      <c r="C15" s="27"/>
      <c r="D15" s="27"/>
      <c r="E15" s="27"/>
      <c r="F15" s="27"/>
      <c r="G15" s="4">
        <v>3600</v>
      </c>
      <c r="H15" s="4"/>
      <c r="I15" s="4"/>
      <c r="J15" s="4"/>
      <c r="K15" s="4"/>
    </row>
    <row r="16" spans="2:11" x14ac:dyDescent="0.25">
      <c r="B16" s="27" t="s">
        <v>16</v>
      </c>
      <c r="C16" s="27"/>
      <c r="D16" s="27"/>
      <c r="E16" s="27"/>
      <c r="F16" s="27"/>
      <c r="G16" s="4">
        <v>3000</v>
      </c>
      <c r="H16" s="4"/>
      <c r="I16" s="4"/>
      <c r="J16" s="4"/>
      <c r="K16" s="4"/>
    </row>
    <row r="17" spans="2:17" x14ac:dyDescent="0.25">
      <c r="B17" s="32" t="s">
        <v>70</v>
      </c>
      <c r="C17" s="33"/>
      <c r="D17" s="33"/>
      <c r="E17" s="33"/>
      <c r="F17" s="34"/>
      <c r="G17" s="4">
        <v>6200</v>
      </c>
      <c r="H17" s="4"/>
      <c r="I17" s="4"/>
      <c r="J17" s="4">
        <v>5000</v>
      </c>
      <c r="K17" s="4"/>
    </row>
    <row r="18" spans="2:17" x14ac:dyDescent="0.25">
      <c r="B18" s="27" t="s">
        <v>71</v>
      </c>
      <c r="C18" s="27"/>
      <c r="D18" s="27"/>
      <c r="E18" s="27"/>
      <c r="F18" s="27"/>
      <c r="G18" s="4">
        <v>18500</v>
      </c>
      <c r="H18" s="4"/>
      <c r="I18" s="4"/>
      <c r="J18" s="4">
        <v>15000</v>
      </c>
      <c r="K18" s="4"/>
    </row>
    <row r="19" spans="2:17" x14ac:dyDescent="0.25">
      <c r="B19" s="27" t="s">
        <v>17</v>
      </c>
      <c r="C19" s="27"/>
      <c r="D19" s="27"/>
      <c r="E19" s="27"/>
      <c r="F19" s="27"/>
      <c r="G19" s="4">
        <v>9000</v>
      </c>
      <c r="H19" s="4"/>
      <c r="I19" s="4"/>
      <c r="J19" s="4"/>
      <c r="K19" s="4"/>
    </row>
    <row r="20" spans="2:17" x14ac:dyDescent="0.25">
      <c r="B20" s="28" t="s">
        <v>18</v>
      </c>
      <c r="C20" s="28"/>
      <c r="D20" s="28"/>
      <c r="E20" s="28"/>
      <c r="F20" s="28"/>
      <c r="G20" s="5">
        <f>SUM(G14:G19)</f>
        <v>43300</v>
      </c>
      <c r="H20" s="5">
        <f>SUM(H14:H19)</f>
        <v>0</v>
      </c>
      <c r="I20" s="5">
        <f>SUM(I14:I19)</f>
        <v>0</v>
      </c>
      <c r="J20" s="5">
        <f>SUM(J14:J19)</f>
        <v>20000</v>
      </c>
      <c r="K20" s="5">
        <f>SUM(K14:K19)</f>
        <v>0</v>
      </c>
    </row>
    <row r="21" spans="2:17" x14ac:dyDescent="0.25"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2:17" x14ac:dyDescent="0.25">
      <c r="B22" s="28" t="s">
        <v>19</v>
      </c>
      <c r="C22" s="28"/>
      <c r="D22" s="28"/>
      <c r="E22" s="28"/>
      <c r="F22" s="28"/>
      <c r="G22" s="3">
        <f>SUM(G7,G11,G20)</f>
        <v>50000</v>
      </c>
      <c r="H22" s="3">
        <f>SUM(H7,H11,H20)</f>
        <v>0</v>
      </c>
      <c r="I22" s="3">
        <f>SUM(I7,I11,I20)</f>
        <v>3600</v>
      </c>
      <c r="J22" s="3">
        <f>SUM(J7,J11,J20)</f>
        <v>20000</v>
      </c>
      <c r="K22" s="3">
        <f>SUM(K7,K11,K20)</f>
        <v>0</v>
      </c>
    </row>
    <row r="29" spans="2:17" ht="30" customHeight="1" x14ac:dyDescent="0.25">
      <c r="B29" s="25" t="s">
        <v>20</v>
      </c>
      <c r="C29" s="31"/>
      <c r="D29" s="31"/>
      <c r="E29" s="31"/>
      <c r="F29" s="31"/>
      <c r="G29" s="7" t="s">
        <v>21</v>
      </c>
      <c r="H29" s="8" t="s">
        <v>22</v>
      </c>
      <c r="I29" s="8" t="s">
        <v>23</v>
      </c>
      <c r="J29" s="20"/>
      <c r="K29" s="1"/>
      <c r="L29" s="22" t="s">
        <v>54</v>
      </c>
      <c r="M29" s="22" t="s">
        <v>65</v>
      </c>
      <c r="N29" s="22" t="s">
        <v>66</v>
      </c>
      <c r="O29" s="22" t="s">
        <v>67</v>
      </c>
      <c r="P29" s="22" t="s">
        <v>68</v>
      </c>
      <c r="Q29" s="22" t="s">
        <v>69</v>
      </c>
    </row>
    <row r="30" spans="2:17" ht="33.75" customHeight="1" x14ac:dyDescent="0.25">
      <c r="B30" s="26" t="s">
        <v>24</v>
      </c>
      <c r="C30" s="26"/>
      <c r="D30" s="26"/>
      <c r="E30" s="26"/>
      <c r="F30" s="26"/>
      <c r="G30" s="11">
        <v>2500</v>
      </c>
      <c r="H30" s="11">
        <v>10</v>
      </c>
      <c r="I30" s="11">
        <f>PRODUCT(G30,H30)</f>
        <v>25000</v>
      </c>
      <c r="L30" s="15" t="s">
        <v>7</v>
      </c>
      <c r="M30" s="21">
        <f>G5*0.2</f>
        <v>300</v>
      </c>
      <c r="N30" s="21">
        <f>G5*0.2</f>
        <v>300</v>
      </c>
      <c r="O30" s="21">
        <f>G5*0.2</f>
        <v>300</v>
      </c>
      <c r="P30" s="21">
        <f>G5*0.2</f>
        <v>300</v>
      </c>
      <c r="Q30" s="21">
        <f>G5*0.2</f>
        <v>300</v>
      </c>
    </row>
    <row r="31" spans="2:17" ht="18" customHeight="1" x14ac:dyDescent="0.25">
      <c r="B31" s="23" t="s">
        <v>25</v>
      </c>
      <c r="C31" s="23"/>
      <c r="D31" s="23"/>
      <c r="E31" s="23"/>
      <c r="F31" s="23"/>
      <c r="G31" s="11">
        <v>2500</v>
      </c>
      <c r="H31" s="11">
        <v>8</v>
      </c>
      <c r="I31" s="11">
        <f>PRODUCT(G31,H31)</f>
        <v>20000</v>
      </c>
      <c r="L31" s="15" t="s">
        <v>8</v>
      </c>
      <c r="M31" s="21">
        <f>G6*0.2</f>
        <v>500</v>
      </c>
      <c r="N31" s="21">
        <f>G6*0.2</f>
        <v>500</v>
      </c>
      <c r="O31" s="21">
        <f>G6*0.2</f>
        <v>500</v>
      </c>
      <c r="P31" s="21">
        <f>G6*0.2</f>
        <v>500</v>
      </c>
      <c r="Q31" s="21">
        <f>G6*0.2</f>
        <v>500</v>
      </c>
    </row>
    <row r="32" spans="2:17" ht="33" customHeight="1" x14ac:dyDescent="0.25">
      <c r="B32" s="26" t="s">
        <v>26</v>
      </c>
      <c r="C32" s="26"/>
      <c r="D32" s="26"/>
      <c r="E32" s="26"/>
      <c r="F32" s="26"/>
      <c r="G32" s="11">
        <v>2000</v>
      </c>
      <c r="H32" s="11">
        <v>12</v>
      </c>
      <c r="I32" s="11">
        <f>PRODUCT(G32,H32)</f>
        <v>24000</v>
      </c>
      <c r="L32" s="15" t="s">
        <v>11</v>
      </c>
      <c r="M32" s="21">
        <f>G10*0.5</f>
        <v>1350</v>
      </c>
      <c r="N32" s="21">
        <f>G10*0.5</f>
        <v>1350</v>
      </c>
      <c r="O32" s="21">
        <f>I10*0.33</f>
        <v>1188</v>
      </c>
      <c r="P32" s="21">
        <f>I10*0.33</f>
        <v>1188</v>
      </c>
      <c r="Q32" s="21">
        <f>I10*0.33</f>
        <v>1188</v>
      </c>
    </row>
    <row r="33" spans="2:22" ht="21" customHeight="1" x14ac:dyDescent="0.25">
      <c r="B33" s="24"/>
      <c r="C33" s="24"/>
      <c r="D33" s="24"/>
      <c r="E33" s="24"/>
      <c r="F33" s="24"/>
      <c r="G33" s="6"/>
      <c r="H33" s="10" t="s">
        <v>33</v>
      </c>
      <c r="I33" s="4">
        <f>SUM(I30,I31,I32)</f>
        <v>69000</v>
      </c>
      <c r="L33" s="15" t="s">
        <v>15</v>
      </c>
      <c r="M33" s="21">
        <f>G15*0.2</f>
        <v>720</v>
      </c>
      <c r="N33" s="21">
        <f>G15*0.2</f>
        <v>720</v>
      </c>
      <c r="O33" s="21">
        <f>G15*0.2</f>
        <v>720</v>
      </c>
      <c r="P33" s="21">
        <f>G15*0.2</f>
        <v>720</v>
      </c>
      <c r="Q33" s="21">
        <f>G15*0.2</f>
        <v>720</v>
      </c>
    </row>
    <row r="34" spans="2:22" ht="36" customHeight="1" x14ac:dyDescent="0.25">
      <c r="B34" s="25" t="s">
        <v>27</v>
      </c>
      <c r="C34" s="25"/>
      <c r="D34" s="25"/>
      <c r="E34" s="25"/>
      <c r="F34" s="25"/>
      <c r="G34" s="9" t="s">
        <v>21</v>
      </c>
      <c r="H34" s="9" t="s">
        <v>32</v>
      </c>
      <c r="I34" s="8" t="s">
        <v>23</v>
      </c>
      <c r="J34" s="20"/>
      <c r="L34" s="15" t="s">
        <v>16</v>
      </c>
      <c r="M34" s="21">
        <f>G16*0.2</f>
        <v>600</v>
      </c>
      <c r="N34" s="21">
        <f>G16*0.2</f>
        <v>600</v>
      </c>
      <c r="O34" s="21">
        <f>G16*0.2</f>
        <v>600</v>
      </c>
      <c r="P34" s="21">
        <f>G16*0.2</f>
        <v>600</v>
      </c>
      <c r="Q34" s="21">
        <f>G16*0.2</f>
        <v>600</v>
      </c>
    </row>
    <row r="35" spans="2:22" ht="30" customHeight="1" x14ac:dyDescent="0.25">
      <c r="B35" s="23" t="s">
        <v>28</v>
      </c>
      <c r="C35" s="23"/>
      <c r="D35" s="23"/>
      <c r="E35" s="23"/>
      <c r="F35" s="23"/>
      <c r="G35" s="11">
        <v>500</v>
      </c>
      <c r="H35" s="11">
        <v>20</v>
      </c>
      <c r="I35" s="11">
        <f>PRODUCT(G35,H35)</f>
        <v>10000</v>
      </c>
      <c r="L35" s="15" t="s">
        <v>70</v>
      </c>
      <c r="M35" s="21">
        <f>G17*0.33</f>
        <v>2046</v>
      </c>
      <c r="N35" s="21">
        <f>G17*0.33</f>
        <v>2046</v>
      </c>
      <c r="O35" s="21">
        <f>G17*0.33</f>
        <v>2046</v>
      </c>
      <c r="P35" s="21">
        <f>J17*0.5</f>
        <v>2500</v>
      </c>
      <c r="Q35" s="21">
        <f>J17*0.5</f>
        <v>2500</v>
      </c>
    </row>
    <row r="36" spans="2:22" ht="30" customHeight="1" x14ac:dyDescent="0.25">
      <c r="B36" s="23" t="s">
        <v>29</v>
      </c>
      <c r="C36" s="23"/>
      <c r="D36" s="23"/>
      <c r="E36" s="23"/>
      <c r="F36" s="23"/>
      <c r="G36" s="11">
        <v>750</v>
      </c>
      <c r="H36" s="11">
        <v>10</v>
      </c>
      <c r="I36" s="11">
        <f>PRODUCT(G36,H36)</f>
        <v>7500</v>
      </c>
      <c r="L36" s="15" t="s">
        <v>71</v>
      </c>
      <c r="M36" s="21">
        <f>G18*0.33</f>
        <v>6105</v>
      </c>
      <c r="N36" s="21">
        <f>G18*0.33</f>
        <v>6105</v>
      </c>
      <c r="O36" s="21">
        <f>G18*0.33</f>
        <v>6105</v>
      </c>
      <c r="P36" s="21">
        <f>J18*0.5</f>
        <v>7500</v>
      </c>
      <c r="Q36" s="21">
        <f>J18*0.5</f>
        <v>7500</v>
      </c>
    </row>
    <row r="37" spans="2:22" ht="18" customHeight="1" x14ac:dyDescent="0.25">
      <c r="B37" s="23" t="s">
        <v>30</v>
      </c>
      <c r="C37" s="23"/>
      <c r="D37" s="23"/>
      <c r="E37" s="23"/>
      <c r="F37" s="23"/>
      <c r="G37" s="11">
        <v>1000</v>
      </c>
      <c r="H37" s="11">
        <v>8</v>
      </c>
      <c r="I37" s="11">
        <f>PRODUCT(G37,H37)</f>
        <v>8000</v>
      </c>
      <c r="L37" s="15" t="s">
        <v>17</v>
      </c>
      <c r="M37" s="21">
        <f>G19*0.2</f>
        <v>1800</v>
      </c>
      <c r="N37" s="21">
        <f>G19*0.2</f>
        <v>1800</v>
      </c>
      <c r="O37" s="21">
        <f>G19*0.2</f>
        <v>1800</v>
      </c>
      <c r="P37" s="21">
        <f>G19*0.2</f>
        <v>1800</v>
      </c>
      <c r="Q37" s="21">
        <f>G19*0.2</f>
        <v>1800</v>
      </c>
    </row>
    <row r="38" spans="2:22" ht="17.25" customHeight="1" x14ac:dyDescent="0.25">
      <c r="B38" s="23" t="s">
        <v>31</v>
      </c>
      <c r="C38" s="23"/>
      <c r="D38" s="23"/>
      <c r="E38" s="23"/>
      <c r="F38" s="23"/>
      <c r="G38" s="11">
        <v>500</v>
      </c>
      <c r="H38" s="11">
        <v>12</v>
      </c>
      <c r="I38" s="11">
        <f>PRODUCT(G38,H38)</f>
        <v>6000</v>
      </c>
      <c r="L38" s="15" t="s">
        <v>72</v>
      </c>
      <c r="M38" s="6">
        <f>SUM(M30:M37)</f>
        <v>13421</v>
      </c>
      <c r="N38" s="6">
        <f t="shared" ref="N38:Q38" si="0">SUM(N30:N37)</f>
        <v>13421</v>
      </c>
      <c r="O38" s="6">
        <f t="shared" si="0"/>
        <v>13259</v>
      </c>
      <c r="P38" s="6">
        <f t="shared" si="0"/>
        <v>15108</v>
      </c>
      <c r="Q38" s="6">
        <f t="shared" si="0"/>
        <v>15108</v>
      </c>
    </row>
    <row r="39" spans="2:22" ht="18.75" customHeight="1" x14ac:dyDescent="0.25">
      <c r="B39" s="24"/>
      <c r="C39" s="24"/>
      <c r="D39" s="24"/>
      <c r="E39" s="24"/>
      <c r="F39" s="24"/>
      <c r="G39" s="6"/>
      <c r="H39" s="10" t="s">
        <v>33</v>
      </c>
      <c r="I39" s="4">
        <f>SUM(I35,I36,I37,I38)</f>
        <v>31500</v>
      </c>
    </row>
    <row r="40" spans="2:22" ht="39.75" customHeight="1" x14ac:dyDescent="0.25">
      <c r="B40" s="25" t="s">
        <v>34</v>
      </c>
      <c r="C40" s="25"/>
      <c r="D40" s="25"/>
      <c r="E40" s="25"/>
      <c r="F40" s="25"/>
      <c r="G40" s="9" t="s">
        <v>21</v>
      </c>
      <c r="H40" s="9" t="s">
        <v>32</v>
      </c>
      <c r="I40" s="8" t="s">
        <v>23</v>
      </c>
      <c r="L40" s="22" t="s">
        <v>73</v>
      </c>
      <c r="M40" s="22" t="s">
        <v>65</v>
      </c>
      <c r="N40" s="22" t="s">
        <v>66</v>
      </c>
      <c r="O40" s="22" t="s">
        <v>67</v>
      </c>
      <c r="P40" s="22" t="s">
        <v>68</v>
      </c>
      <c r="Q40" s="22" t="s">
        <v>69</v>
      </c>
    </row>
    <row r="41" spans="2:22" ht="30.75" customHeight="1" x14ac:dyDescent="0.25">
      <c r="B41" s="23" t="s">
        <v>35</v>
      </c>
      <c r="C41" s="23"/>
      <c r="D41" s="23"/>
      <c r="E41" s="23"/>
      <c r="F41" s="23"/>
      <c r="G41" s="11">
        <v>1000</v>
      </c>
      <c r="H41" s="11">
        <v>12</v>
      </c>
      <c r="I41" s="11">
        <f>PRODUCT(G41,H41)</f>
        <v>12000</v>
      </c>
      <c r="J41" s="20"/>
      <c r="L41" s="15" t="s">
        <v>74</v>
      </c>
      <c r="M41" s="6">
        <f>E55*0.25</f>
        <v>17250</v>
      </c>
      <c r="N41" s="6">
        <f>F55*0.25</f>
        <v>19354.5</v>
      </c>
      <c r="O41" s="6">
        <f t="shared" ref="O41:Q41" si="1">G55*0.25</f>
        <v>21222.20925</v>
      </c>
      <c r="P41" s="6">
        <f t="shared" si="1"/>
        <v>22945.452641100001</v>
      </c>
      <c r="Q41" s="6">
        <f t="shared" si="1"/>
        <v>24574.579778618103</v>
      </c>
    </row>
    <row r="42" spans="2:22" x14ac:dyDescent="0.25">
      <c r="B42" s="23" t="s">
        <v>36</v>
      </c>
      <c r="C42" s="23"/>
      <c r="D42" s="23"/>
      <c r="E42" s="23"/>
      <c r="F42" s="23"/>
      <c r="G42" s="11">
        <v>1500</v>
      </c>
      <c r="H42" s="11">
        <v>8</v>
      </c>
      <c r="I42" s="11">
        <f>PRODUCT(G42,H42)</f>
        <v>12000</v>
      </c>
      <c r="L42" s="15" t="s">
        <v>75</v>
      </c>
      <c r="M42" s="6">
        <f>E56*0.3</f>
        <v>9450</v>
      </c>
      <c r="N42" s="6">
        <f>F56*0.3</f>
        <v>10410.120000000001</v>
      </c>
      <c r="O42" s="6">
        <f t="shared" ref="O42:Q42" si="2">G56*0.3</f>
        <v>11202.330132000001</v>
      </c>
      <c r="P42" s="6">
        <f t="shared" si="2"/>
        <v>12340.486873411201</v>
      </c>
      <c r="Q42" s="6">
        <f t="shared" si="2"/>
        <v>13279.59792447779</v>
      </c>
    </row>
    <row r="43" spans="2:22" x14ac:dyDescent="0.25">
      <c r="B43" s="23" t="s">
        <v>37</v>
      </c>
      <c r="C43" s="23"/>
      <c r="D43" s="23"/>
      <c r="E43" s="23"/>
      <c r="F43" s="23"/>
      <c r="G43" s="11">
        <v>1000</v>
      </c>
      <c r="H43" s="11">
        <v>20</v>
      </c>
      <c r="I43" s="11">
        <f>PRODUCT(G43,H43)</f>
        <v>20000</v>
      </c>
      <c r="L43" s="15" t="s">
        <v>76</v>
      </c>
      <c r="M43" s="6">
        <f>E57*0.25</f>
        <v>16000</v>
      </c>
      <c r="N43" s="6">
        <f>F57*0.25</f>
        <v>17952</v>
      </c>
      <c r="O43" s="6">
        <f t="shared" ref="O43:Q43" si="3">G57*0.25</f>
        <v>19684.367999999999</v>
      </c>
      <c r="P43" s="6">
        <f t="shared" si="3"/>
        <v>22085.860896000002</v>
      </c>
      <c r="Q43" s="6">
        <f t="shared" si="3"/>
        <v>24217.146472464003</v>
      </c>
    </row>
    <row r="44" spans="2:22" x14ac:dyDescent="0.25">
      <c r="B44" s="23" t="s">
        <v>38</v>
      </c>
      <c r="C44" s="23"/>
      <c r="D44" s="23"/>
      <c r="E44" s="23"/>
      <c r="F44" s="23"/>
      <c r="G44" s="11">
        <v>2000</v>
      </c>
      <c r="H44" s="11">
        <v>10</v>
      </c>
      <c r="I44" s="11">
        <f>PRODUCT(G44,H44)</f>
        <v>20000</v>
      </c>
      <c r="L44" s="15" t="s">
        <v>77</v>
      </c>
      <c r="M44" s="6">
        <f>E58*0.3</f>
        <v>15600</v>
      </c>
      <c r="N44" s="6">
        <f>F58*0.3</f>
        <v>17503.2</v>
      </c>
      <c r="O44" s="6">
        <f t="shared" ref="O44:Q44" si="4">G58*0.3</f>
        <v>19192.2588</v>
      </c>
      <c r="P44" s="6">
        <f t="shared" si="4"/>
        <v>21533.714373600003</v>
      </c>
      <c r="Q44" s="6">
        <f t="shared" si="4"/>
        <v>23611.717810652401</v>
      </c>
    </row>
    <row r="45" spans="2:22" x14ac:dyDescent="0.25">
      <c r="B45" s="24"/>
      <c r="C45" s="24"/>
      <c r="D45" s="24"/>
      <c r="E45" s="24"/>
      <c r="F45" s="24"/>
      <c r="G45" s="6"/>
      <c r="H45" s="10" t="s">
        <v>33</v>
      </c>
      <c r="I45" s="4">
        <f>SUM(I41,I42,I43,I44)</f>
        <v>64000</v>
      </c>
    </row>
    <row r="46" spans="2:22" ht="28.5" customHeight="1" x14ac:dyDescent="0.25">
      <c r="B46" s="25" t="s">
        <v>41</v>
      </c>
      <c r="C46" s="25"/>
      <c r="D46" s="25"/>
      <c r="E46" s="25"/>
      <c r="F46" s="25"/>
      <c r="G46" s="9" t="s">
        <v>21</v>
      </c>
      <c r="H46" s="9" t="s">
        <v>32</v>
      </c>
      <c r="I46" s="8" t="s">
        <v>23</v>
      </c>
    </row>
    <row r="47" spans="2:22" x14ac:dyDescent="0.25">
      <c r="B47" s="26" t="s">
        <v>39</v>
      </c>
      <c r="C47" s="26"/>
      <c r="D47" s="26"/>
      <c r="E47" s="26"/>
      <c r="F47" s="26"/>
      <c r="G47" s="11">
        <v>10000</v>
      </c>
      <c r="H47" s="11">
        <v>4</v>
      </c>
      <c r="I47" s="11">
        <f>PRODUCT(G47,H47)</f>
        <v>40000</v>
      </c>
      <c r="J47" s="20"/>
    </row>
    <row r="48" spans="2:22" x14ac:dyDescent="0.25">
      <c r="B48" s="23" t="s">
        <v>40</v>
      </c>
      <c r="C48" s="23"/>
      <c r="D48" s="23"/>
      <c r="E48" s="23"/>
      <c r="F48" s="23"/>
      <c r="G48" s="11">
        <v>3000</v>
      </c>
      <c r="H48" s="11">
        <v>4</v>
      </c>
      <c r="I48" s="11">
        <f>PRODUCT(G48,H48)</f>
        <v>12000</v>
      </c>
      <c r="L48" s="82" t="s">
        <v>78</v>
      </c>
      <c r="M48" s="83" t="s">
        <v>79</v>
      </c>
      <c r="N48" s="83" t="s">
        <v>80</v>
      </c>
      <c r="O48" s="83" t="s">
        <v>79</v>
      </c>
      <c r="P48" s="83" t="s">
        <v>80</v>
      </c>
      <c r="Q48" s="83" t="s">
        <v>79</v>
      </c>
      <c r="R48" s="83" t="s">
        <v>80</v>
      </c>
      <c r="S48" s="83" t="s">
        <v>79</v>
      </c>
      <c r="T48" s="83" t="s">
        <v>80</v>
      </c>
      <c r="U48" s="83" t="s">
        <v>79</v>
      </c>
      <c r="V48" s="83" t="s">
        <v>80</v>
      </c>
    </row>
    <row r="49" spans="2:23" ht="33.75" customHeight="1" x14ac:dyDescent="0.25">
      <c r="B49" s="24"/>
      <c r="C49" s="24"/>
      <c r="D49" s="24"/>
      <c r="E49" s="24"/>
      <c r="F49" s="24"/>
      <c r="G49" s="6"/>
      <c r="H49" s="10" t="s">
        <v>33</v>
      </c>
      <c r="I49" s="4">
        <f>SUM(I47,I48)</f>
        <v>52000</v>
      </c>
      <c r="J49" s="12"/>
      <c r="L49" s="82"/>
      <c r="M49" s="84" t="s">
        <v>65</v>
      </c>
      <c r="N49" s="84"/>
      <c r="O49" s="84" t="s">
        <v>66</v>
      </c>
      <c r="P49" s="84"/>
      <c r="Q49" s="84" t="s">
        <v>67</v>
      </c>
      <c r="R49" s="84"/>
      <c r="S49" s="84" t="s">
        <v>68</v>
      </c>
      <c r="T49" s="84"/>
      <c r="U49" s="84" t="s">
        <v>69</v>
      </c>
      <c r="V49" s="84"/>
    </row>
    <row r="50" spans="2:23" x14ac:dyDescent="0.25">
      <c r="B50" s="25" t="s">
        <v>33</v>
      </c>
      <c r="C50" s="25"/>
      <c r="D50" s="25"/>
      <c r="E50" s="25"/>
      <c r="F50" s="25"/>
      <c r="G50" s="25"/>
      <c r="H50" s="25"/>
      <c r="I50" s="13">
        <f>SUM(I49,I45,I39,I33)</f>
        <v>216500</v>
      </c>
      <c r="L50" s="6" t="s">
        <v>81</v>
      </c>
      <c r="M50" s="6">
        <f>G22</f>
        <v>50000</v>
      </c>
      <c r="N50" s="6">
        <f>E107</f>
        <v>4273.0800000000045</v>
      </c>
      <c r="O50" s="6">
        <v>0</v>
      </c>
      <c r="P50" s="6">
        <f>F107</f>
        <v>19561.055999999993</v>
      </c>
      <c r="Q50" s="6">
        <f>I22</f>
        <v>3600</v>
      </c>
      <c r="R50" s="6">
        <f>G107</f>
        <v>23618.363959999999</v>
      </c>
      <c r="S50" s="6">
        <f>J22</f>
        <v>20000</v>
      </c>
      <c r="T50" s="6">
        <f>H107</f>
        <v>26988.345169360011</v>
      </c>
      <c r="U50" s="6">
        <v>0</v>
      </c>
      <c r="V50" s="6">
        <f>I107</f>
        <v>30833.702048567928</v>
      </c>
    </row>
    <row r="51" spans="2:23" ht="33.75" customHeight="1" x14ac:dyDescent="0.25">
      <c r="L51" s="6" t="s">
        <v>82</v>
      </c>
      <c r="M51" s="6">
        <f>G22</f>
        <v>50000</v>
      </c>
      <c r="N51" s="6">
        <f>E108</f>
        <v>-10206.919999999995</v>
      </c>
      <c r="O51" s="6">
        <v>0</v>
      </c>
      <c r="P51" s="6">
        <f>F108</f>
        <v>2954.6399999999849</v>
      </c>
      <c r="Q51" s="6">
        <f>I22</f>
        <v>3600</v>
      </c>
      <c r="R51" s="6">
        <f>G108</f>
        <v>5013.0114463999926</v>
      </c>
      <c r="S51" s="6">
        <f>J22</f>
        <v>20000</v>
      </c>
      <c r="T51" s="6">
        <f>H108</f>
        <v>7764.6336474342443</v>
      </c>
      <c r="U51" s="6">
        <v>0</v>
      </c>
      <c r="V51" s="6">
        <f>I108</f>
        <v>10689.23832627216</v>
      </c>
    </row>
    <row r="52" spans="2:23" x14ac:dyDescent="0.25">
      <c r="L52" s="6" t="s">
        <v>83</v>
      </c>
      <c r="M52" s="6">
        <f>G22</f>
        <v>50000</v>
      </c>
      <c r="N52" s="6">
        <f>E109</f>
        <v>60313.08</v>
      </c>
      <c r="O52" s="6">
        <v>0</v>
      </c>
      <c r="P52" s="6">
        <f>F109</f>
        <v>82078.079999999987</v>
      </c>
      <c r="Q52" s="6">
        <f>I22</f>
        <v>3600</v>
      </c>
      <c r="R52" s="6">
        <f>G109</f>
        <v>91771.863406400022</v>
      </c>
      <c r="S52" s="6">
        <f>J22</f>
        <v>20000</v>
      </c>
      <c r="T52" s="6">
        <f>H109</f>
        <v>103029.98681679422</v>
      </c>
      <c r="U52" s="6">
        <v>0</v>
      </c>
      <c r="V52" s="6">
        <f>I109</f>
        <v>113743.43637484009</v>
      </c>
    </row>
    <row r="53" spans="2:23" x14ac:dyDescent="0.25">
      <c r="L53" s="6" t="s">
        <v>84</v>
      </c>
      <c r="M53" s="85">
        <v>0.02</v>
      </c>
      <c r="N53" s="6"/>
      <c r="O53" s="18">
        <v>0.02</v>
      </c>
      <c r="P53" s="6"/>
      <c r="Q53" s="18">
        <v>0.02</v>
      </c>
      <c r="R53" s="6"/>
      <c r="S53" s="18">
        <v>0.02</v>
      </c>
      <c r="T53" s="6"/>
      <c r="U53" s="18">
        <v>0.02</v>
      </c>
      <c r="V53" s="6"/>
    </row>
    <row r="54" spans="2:23" ht="15.75" customHeight="1" x14ac:dyDescent="0.25">
      <c r="B54" s="35" t="s">
        <v>42</v>
      </c>
      <c r="C54" s="36"/>
      <c r="D54" s="37"/>
      <c r="E54" s="14" t="s">
        <v>1</v>
      </c>
      <c r="F54" s="14" t="s">
        <v>2</v>
      </c>
      <c r="G54" s="14" t="s">
        <v>3</v>
      </c>
      <c r="H54" s="14" t="s">
        <v>4</v>
      </c>
      <c r="I54" s="14" t="s">
        <v>5</v>
      </c>
    </row>
    <row r="55" spans="2:23" ht="32.25" customHeight="1" x14ac:dyDescent="0.25">
      <c r="B55" s="41" t="s">
        <v>43</v>
      </c>
      <c r="C55" s="42"/>
      <c r="D55" s="43"/>
      <c r="E55" s="6">
        <f>I33</f>
        <v>69000</v>
      </c>
      <c r="F55" s="6">
        <f>E55*1.1*1.02</f>
        <v>77418</v>
      </c>
      <c r="G55" s="6">
        <f>F55*1.075*1.02</f>
        <v>84888.837</v>
      </c>
      <c r="H55" s="6">
        <f>G55*1.06*1.02</f>
        <v>91781.810564400002</v>
      </c>
      <c r="I55" s="6">
        <f>H55*1.05*1.02</f>
        <v>98298.319114472411</v>
      </c>
      <c r="L55" s="86" t="s">
        <v>86</v>
      </c>
      <c r="M55" s="86"/>
      <c r="N55" s="86"/>
      <c r="O55" s="86"/>
      <c r="P55" s="86"/>
      <c r="Q55" s="86"/>
      <c r="R55" s="86"/>
      <c r="S55" s="86"/>
    </row>
    <row r="56" spans="2:23" ht="29.25" customHeight="1" x14ac:dyDescent="0.25">
      <c r="B56" s="41" t="s">
        <v>27</v>
      </c>
      <c r="C56" s="42"/>
      <c r="D56" s="43"/>
      <c r="E56" s="6">
        <f>I39</f>
        <v>31500</v>
      </c>
      <c r="F56" s="6">
        <f>E56*1.08*1.02</f>
        <v>34700.400000000001</v>
      </c>
      <c r="G56" s="6">
        <f>F56*1.055*1.02</f>
        <v>37341.100440000002</v>
      </c>
      <c r="H56" s="6">
        <f>G56*1.08*1.02</f>
        <v>41134.956244704001</v>
      </c>
      <c r="I56" s="6">
        <f>H56*1.055*1.02</f>
        <v>44265.32641492597</v>
      </c>
      <c r="L56" s="87" t="s">
        <v>78</v>
      </c>
      <c r="M56" s="88" t="s">
        <v>87</v>
      </c>
      <c r="N56" s="88" t="s">
        <v>88</v>
      </c>
      <c r="O56" s="88" t="s">
        <v>89</v>
      </c>
      <c r="P56" s="88" t="s">
        <v>90</v>
      </c>
      <c r="Q56" s="88" t="s">
        <v>91</v>
      </c>
      <c r="R56" s="88" t="s">
        <v>92</v>
      </c>
      <c r="S56" s="88" t="s">
        <v>93</v>
      </c>
    </row>
    <row r="57" spans="2:23" x14ac:dyDescent="0.25">
      <c r="B57" s="41" t="s">
        <v>34</v>
      </c>
      <c r="C57" s="42"/>
      <c r="D57" s="43"/>
      <c r="E57" s="6">
        <f>I45</f>
        <v>64000</v>
      </c>
      <c r="F57" s="6">
        <f>E57*1.1*1.02</f>
        <v>71808</v>
      </c>
      <c r="G57" s="6">
        <f>F57*1.075*1.02</f>
        <v>78737.471999999994</v>
      </c>
      <c r="H57" s="6">
        <f>G57*1.1*1.02</f>
        <v>88343.443584000008</v>
      </c>
      <c r="I57" s="6">
        <f>H57*1.075*1.02</f>
        <v>96868.585889856011</v>
      </c>
      <c r="L57" s="6" t="s">
        <v>81</v>
      </c>
      <c r="M57" s="18"/>
      <c r="N57" s="18"/>
      <c r="O57" s="18"/>
      <c r="P57" s="18"/>
      <c r="Q57" s="6"/>
      <c r="R57" s="6"/>
      <c r="S57" s="6"/>
    </row>
    <row r="58" spans="2:23" x14ac:dyDescent="0.25">
      <c r="B58" s="41" t="s">
        <v>44</v>
      </c>
      <c r="C58" s="42"/>
      <c r="D58" s="43"/>
      <c r="E58" s="6">
        <f>I49</f>
        <v>52000</v>
      </c>
      <c r="F58" s="6">
        <f>E58*1.1*1.02</f>
        <v>58344.000000000007</v>
      </c>
      <c r="G58" s="6">
        <f>F58*1.075*1.02</f>
        <v>63974.196000000004</v>
      </c>
      <c r="H58" s="6">
        <f>G58*1.1*1.02</f>
        <v>71779.047912000009</v>
      </c>
      <c r="I58" s="6">
        <f>H58*1.075*1.02</f>
        <v>78705.726035508007</v>
      </c>
      <c r="L58" s="6" t="s">
        <v>82</v>
      </c>
      <c r="M58" s="18">
        <v>3</v>
      </c>
      <c r="N58" s="18">
        <v>4</v>
      </c>
      <c r="O58" s="18">
        <f>G113</f>
        <v>-2239.2685536000172</v>
      </c>
      <c r="P58" s="18">
        <f>H113</f>
        <v>5525.3650938342271</v>
      </c>
      <c r="Q58" s="6">
        <f>(-O58*365)/(P58-O58)+M58*365</f>
        <v>1200.2635654399596</v>
      </c>
      <c r="R58" s="6">
        <f>Q58/365</f>
        <v>3.2883933299724921</v>
      </c>
      <c r="S58" s="6"/>
    </row>
    <row r="59" spans="2:23" x14ac:dyDescent="0.25">
      <c r="L59" s="6" t="s">
        <v>83</v>
      </c>
      <c r="M59" s="6"/>
      <c r="N59" s="6"/>
      <c r="O59" s="6"/>
      <c r="P59" s="18"/>
      <c r="Q59" s="6"/>
      <c r="R59" s="6"/>
      <c r="S59" s="6"/>
    </row>
    <row r="61" spans="2:23" x14ac:dyDescent="0.25">
      <c r="T61" s="89"/>
      <c r="U61" s="90"/>
      <c r="V61" s="90"/>
      <c r="W61" s="91"/>
    </row>
    <row r="62" spans="2:23" x14ac:dyDescent="0.25">
      <c r="B62" s="35" t="s">
        <v>42</v>
      </c>
      <c r="C62" s="36"/>
      <c r="D62" s="37"/>
      <c r="E62" s="14" t="s">
        <v>1</v>
      </c>
      <c r="F62" s="14" t="s">
        <v>2</v>
      </c>
      <c r="G62" s="14" t="s">
        <v>3</v>
      </c>
      <c r="H62" s="14" t="s">
        <v>4</v>
      </c>
      <c r="I62" s="14" t="s">
        <v>5</v>
      </c>
      <c r="T62" s="89"/>
      <c r="U62" s="90"/>
      <c r="V62" s="90"/>
      <c r="W62" s="91"/>
    </row>
    <row r="63" spans="2:23" ht="20.25" customHeight="1" x14ac:dyDescent="0.25">
      <c r="B63" s="38" t="s">
        <v>45</v>
      </c>
      <c r="C63" s="39"/>
      <c r="D63" s="40"/>
      <c r="E63" s="6">
        <f>E55+E58</f>
        <v>121000</v>
      </c>
      <c r="F63" s="6">
        <f>F55+F58</f>
        <v>135762</v>
      </c>
      <c r="G63" s="6">
        <f t="shared" ref="G63:I63" si="5">G55+G58</f>
        <v>148863.033</v>
      </c>
      <c r="H63" s="6">
        <f t="shared" si="5"/>
        <v>163560.85847640003</v>
      </c>
      <c r="I63" s="6">
        <f t="shared" si="5"/>
        <v>177004.0451499804</v>
      </c>
      <c r="T63" s="92"/>
      <c r="U63" s="93"/>
      <c r="V63" s="93"/>
      <c r="W63" s="94"/>
    </row>
    <row r="64" spans="2:23" x14ac:dyDescent="0.25">
      <c r="B64" s="38" t="s">
        <v>46</v>
      </c>
      <c r="C64" s="39"/>
      <c r="D64" s="40"/>
      <c r="E64" s="6">
        <f>E56+E57</f>
        <v>95500</v>
      </c>
      <c r="F64" s="6">
        <f>F56+F57</f>
        <v>106508.4</v>
      </c>
      <c r="G64" s="6">
        <f t="shared" ref="G64:I64" si="6">G56+G57</f>
        <v>116078.57243999999</v>
      </c>
      <c r="H64" s="6">
        <f t="shared" si="6"/>
        <v>129478.39982870402</v>
      </c>
      <c r="I64" s="6">
        <f t="shared" si="6"/>
        <v>141133.91230478199</v>
      </c>
    </row>
    <row r="65" spans="2:9" x14ac:dyDescent="0.25">
      <c r="B65" s="38" t="s">
        <v>47</v>
      </c>
      <c r="C65" s="39"/>
      <c r="D65" s="40"/>
      <c r="E65" s="6">
        <f>SUM(E55:E58)</f>
        <v>216500</v>
      </c>
      <c r="F65" s="6">
        <f t="shared" ref="F65:I65" si="7">SUM(F55:F58)</f>
        <v>242270.4</v>
      </c>
      <c r="G65" s="6">
        <f t="shared" si="7"/>
        <v>264941.60544000001</v>
      </c>
      <c r="H65" s="6">
        <f t="shared" si="7"/>
        <v>293039.25830510398</v>
      </c>
      <c r="I65" s="6">
        <f t="shared" si="7"/>
        <v>318137.95745476242</v>
      </c>
    </row>
    <row r="69" spans="2:9" x14ac:dyDescent="0.25">
      <c r="B69" s="35" t="s">
        <v>55</v>
      </c>
      <c r="C69" s="36"/>
      <c r="D69" s="37"/>
      <c r="E69" s="14" t="s">
        <v>1</v>
      </c>
      <c r="F69" s="14" t="s">
        <v>56</v>
      </c>
      <c r="G69" s="14" t="s">
        <v>3</v>
      </c>
      <c r="H69" s="14" t="s">
        <v>4</v>
      </c>
      <c r="I69" s="14" t="s">
        <v>5</v>
      </c>
    </row>
    <row r="70" spans="2:9" x14ac:dyDescent="0.25">
      <c r="B70" s="38" t="s">
        <v>48</v>
      </c>
      <c r="C70" s="39"/>
      <c r="D70" s="40"/>
      <c r="E70" s="6">
        <v>33537.65</v>
      </c>
      <c r="F70" s="6">
        <v>36138.980000000003</v>
      </c>
      <c r="G70" s="6">
        <v>38997.61</v>
      </c>
      <c r="H70" s="6">
        <v>41648.26</v>
      </c>
      <c r="I70" s="6">
        <v>44497.62</v>
      </c>
    </row>
    <row r="71" spans="2:9" x14ac:dyDescent="0.25">
      <c r="B71" s="38" t="s">
        <v>49</v>
      </c>
      <c r="C71" s="39"/>
      <c r="D71" s="40"/>
      <c r="E71" s="6">
        <v>6000</v>
      </c>
      <c r="F71" s="6">
        <v>6240</v>
      </c>
      <c r="G71" s="6">
        <v>6490</v>
      </c>
      <c r="H71" s="6">
        <v>6750</v>
      </c>
      <c r="I71" s="6">
        <v>7020</v>
      </c>
    </row>
    <row r="72" spans="2:9" x14ac:dyDescent="0.25">
      <c r="B72" s="38" t="s">
        <v>50</v>
      </c>
      <c r="C72" s="39"/>
      <c r="D72" s="40"/>
      <c r="E72" s="6">
        <v>9400</v>
      </c>
      <c r="F72" s="6">
        <v>10340</v>
      </c>
      <c r="G72" s="6">
        <v>11374</v>
      </c>
      <c r="H72" s="6">
        <v>12511</v>
      </c>
      <c r="I72" s="6">
        <v>13762</v>
      </c>
    </row>
    <row r="73" spans="2:9" x14ac:dyDescent="0.25">
      <c r="B73" s="38" t="s">
        <v>51</v>
      </c>
      <c r="C73" s="39"/>
      <c r="D73" s="40"/>
      <c r="E73" s="6">
        <v>350</v>
      </c>
      <c r="F73" s="6">
        <v>368</v>
      </c>
      <c r="G73" s="6">
        <v>386</v>
      </c>
      <c r="H73" s="6">
        <v>405</v>
      </c>
      <c r="I73" s="6">
        <v>425</v>
      </c>
    </row>
    <row r="74" spans="2:9" x14ac:dyDescent="0.25">
      <c r="B74" s="38" t="s">
        <v>52</v>
      </c>
      <c r="C74" s="39"/>
      <c r="D74" s="40"/>
      <c r="E74" s="6">
        <v>6100</v>
      </c>
      <c r="F74" s="6">
        <v>6405</v>
      </c>
      <c r="G74" s="6">
        <v>6725</v>
      </c>
      <c r="H74" s="6">
        <v>7061</v>
      </c>
      <c r="I74" s="6">
        <v>7414</v>
      </c>
    </row>
    <row r="75" spans="2:9" x14ac:dyDescent="0.25">
      <c r="B75" s="38" t="s">
        <v>53</v>
      </c>
      <c r="C75" s="39"/>
      <c r="D75" s="40"/>
      <c r="E75" s="6">
        <v>14000</v>
      </c>
      <c r="F75" s="6">
        <v>1540</v>
      </c>
      <c r="G75" s="6">
        <v>1694</v>
      </c>
      <c r="H75" s="6">
        <v>1863</v>
      </c>
      <c r="I75" s="6">
        <v>2049</v>
      </c>
    </row>
    <row r="76" spans="2:9" x14ac:dyDescent="0.25">
      <c r="B76" s="38" t="s">
        <v>54</v>
      </c>
      <c r="C76" s="39"/>
      <c r="D76" s="40"/>
      <c r="E76" s="6">
        <f>M38</f>
        <v>13421</v>
      </c>
      <c r="F76" s="6">
        <f t="shared" ref="F76:I76" si="8">N38</f>
        <v>13421</v>
      </c>
      <c r="G76" s="6">
        <f t="shared" si="8"/>
        <v>13259</v>
      </c>
      <c r="H76" s="6">
        <f t="shared" si="8"/>
        <v>15108</v>
      </c>
      <c r="I76" s="6">
        <f t="shared" si="8"/>
        <v>15108</v>
      </c>
    </row>
    <row r="77" spans="2:9" x14ac:dyDescent="0.25">
      <c r="B77" s="44" t="s">
        <v>33</v>
      </c>
      <c r="C77" s="45"/>
      <c r="D77" s="46"/>
      <c r="E77" s="6">
        <f>SUM(E70:E76)</f>
        <v>82808.649999999994</v>
      </c>
      <c r="F77" s="6">
        <f t="shared" ref="F77:I77" si="9">SUM(F70:F76)</f>
        <v>74452.98000000001</v>
      </c>
      <c r="G77" s="6">
        <f t="shared" si="9"/>
        <v>78925.61</v>
      </c>
      <c r="H77" s="6">
        <f t="shared" si="9"/>
        <v>85346.260000000009</v>
      </c>
      <c r="I77" s="6">
        <f t="shared" si="9"/>
        <v>90275.62</v>
      </c>
    </row>
    <row r="82" spans="2:15" x14ac:dyDescent="0.25">
      <c r="B82" s="74"/>
      <c r="C82" s="74"/>
      <c r="D82" s="75"/>
      <c r="E82" s="14" t="s">
        <v>1</v>
      </c>
      <c r="F82" s="14" t="s">
        <v>2</v>
      </c>
      <c r="G82" s="14" t="s">
        <v>3</v>
      </c>
      <c r="H82" s="14" t="s">
        <v>4</v>
      </c>
      <c r="I82" s="14" t="s">
        <v>5</v>
      </c>
    </row>
    <row r="83" spans="2:15" x14ac:dyDescent="0.25">
      <c r="B83" s="47" t="s">
        <v>57</v>
      </c>
      <c r="C83" s="48"/>
      <c r="D83" s="48"/>
      <c r="E83" s="48"/>
      <c r="F83" s="48"/>
      <c r="G83" s="48"/>
      <c r="H83" s="48"/>
      <c r="I83" s="49"/>
    </row>
    <row r="84" spans="2:15" x14ac:dyDescent="0.25">
      <c r="B84" s="50" t="s">
        <v>45</v>
      </c>
      <c r="C84" s="51"/>
      <c r="D84" s="52"/>
      <c r="E84" s="15">
        <f>E63</f>
        <v>121000</v>
      </c>
      <c r="F84" s="15">
        <f t="shared" ref="F84:I84" si="10">F63</f>
        <v>135762</v>
      </c>
      <c r="G84" s="15">
        <f t="shared" si="10"/>
        <v>148863.033</v>
      </c>
      <c r="H84" s="15">
        <f t="shared" si="10"/>
        <v>163560.85847640003</v>
      </c>
      <c r="I84" s="15">
        <f t="shared" si="10"/>
        <v>177004.0451499804</v>
      </c>
    </row>
    <row r="85" spans="2:15" x14ac:dyDescent="0.25">
      <c r="B85" s="50" t="s">
        <v>46</v>
      </c>
      <c r="C85" s="51"/>
      <c r="D85" s="52"/>
      <c r="E85" s="15">
        <f>E64</f>
        <v>95500</v>
      </c>
      <c r="F85" s="15">
        <f t="shared" ref="F85:I85" si="11">F64</f>
        <v>106508.4</v>
      </c>
      <c r="G85" s="15">
        <f t="shared" si="11"/>
        <v>116078.57243999999</v>
      </c>
      <c r="H85" s="15">
        <f t="shared" si="11"/>
        <v>129478.39982870402</v>
      </c>
      <c r="I85" s="15">
        <f t="shared" si="11"/>
        <v>141133.91230478199</v>
      </c>
    </row>
    <row r="86" spans="2:15" x14ac:dyDescent="0.25">
      <c r="B86" s="50" t="s">
        <v>47</v>
      </c>
      <c r="C86" s="51"/>
      <c r="D86" s="52"/>
      <c r="E86" s="15">
        <f>E65</f>
        <v>216500</v>
      </c>
      <c r="F86" s="15">
        <f t="shared" ref="F86:I86" si="12">F65</f>
        <v>242270.4</v>
      </c>
      <c r="G86" s="15">
        <f t="shared" si="12"/>
        <v>264941.60544000001</v>
      </c>
      <c r="H86" s="15">
        <f t="shared" si="12"/>
        <v>293039.25830510398</v>
      </c>
      <c r="I86" s="15">
        <f t="shared" si="12"/>
        <v>318137.95745476242</v>
      </c>
    </row>
    <row r="87" spans="2:15" x14ac:dyDescent="0.25">
      <c r="B87" s="53"/>
      <c r="C87" s="54"/>
      <c r="D87" s="54"/>
      <c r="E87" s="54"/>
      <c r="F87" s="54"/>
      <c r="G87" s="54"/>
      <c r="H87" s="54"/>
      <c r="I87" s="55"/>
      <c r="L87" s="22" t="s">
        <v>96</v>
      </c>
      <c r="M87" s="22" t="s">
        <v>85</v>
      </c>
      <c r="N87" s="22" t="s">
        <v>94</v>
      </c>
      <c r="O87" s="22" t="s">
        <v>95</v>
      </c>
    </row>
    <row r="88" spans="2:15" x14ac:dyDescent="0.25">
      <c r="B88" s="56" t="s">
        <v>58</v>
      </c>
      <c r="C88" s="57"/>
      <c r="D88" s="58"/>
      <c r="E88" s="16">
        <f>E77</f>
        <v>82808.649999999994</v>
      </c>
      <c r="F88" s="16">
        <f t="shared" ref="F88:I88" si="13">F77</f>
        <v>74452.98000000001</v>
      </c>
      <c r="G88" s="16">
        <f t="shared" si="13"/>
        <v>78925.61</v>
      </c>
      <c r="H88" s="16">
        <f t="shared" si="13"/>
        <v>85346.260000000009</v>
      </c>
      <c r="I88" s="16">
        <f t="shared" si="13"/>
        <v>90275.62</v>
      </c>
      <c r="L88" s="6" t="s">
        <v>81</v>
      </c>
      <c r="M88" s="6">
        <f>-M50+N50/(1+M53)-O50+P50/(1+O53)^2-Q50+R50/(1+Q53)^3-S50+T50/(1+S53)^4-U50+V50/(1+U53)^5</f>
        <v>24506.975505105798</v>
      </c>
      <c r="N88" s="6"/>
      <c r="O88" s="6">
        <f>I112</f>
        <v>105274.54717792793</v>
      </c>
    </row>
    <row r="89" spans="2:15" x14ac:dyDescent="0.25">
      <c r="B89" s="56" t="s">
        <v>59</v>
      </c>
      <c r="C89" s="57"/>
      <c r="D89" s="58"/>
      <c r="E89" s="16">
        <f>E76</f>
        <v>13421</v>
      </c>
      <c r="F89" s="16">
        <f t="shared" ref="F89:I89" si="14">F76</f>
        <v>13421</v>
      </c>
      <c r="G89" s="16">
        <f t="shared" si="14"/>
        <v>13259</v>
      </c>
      <c r="H89" s="16">
        <f t="shared" si="14"/>
        <v>15108</v>
      </c>
      <c r="I89" s="16">
        <f t="shared" si="14"/>
        <v>15108</v>
      </c>
      <c r="L89" s="6" t="s">
        <v>82</v>
      </c>
      <c r="M89" s="6">
        <f>-M51+N51/(1+M53)-O51+P51/(1+O53)^2-Q51+R51/(1+Q53)^3-S51+T51/(1+S53)^4-U51+V51/(1+U53)^5</f>
        <v>-59188.11017097265</v>
      </c>
      <c r="N89" s="6">
        <f>R58</f>
        <v>3.2883933299724921</v>
      </c>
      <c r="O89" s="6">
        <f t="shared" ref="O89:O90" si="15">I113</f>
        <v>16214.603420106387</v>
      </c>
    </row>
    <row r="90" spans="2:15" x14ac:dyDescent="0.25">
      <c r="B90" s="53"/>
      <c r="C90" s="54"/>
      <c r="D90" s="54"/>
      <c r="E90" s="54"/>
      <c r="F90" s="54"/>
      <c r="G90" s="54"/>
      <c r="H90" s="54"/>
      <c r="I90" s="55"/>
      <c r="L90" s="6" t="s">
        <v>83</v>
      </c>
      <c r="M90" s="6">
        <f>-M52+N52/(1+M53)-O52+P52/(1+O53)^2-Q52+R52/(1+Q53)^3-S52+T52/(1+S53)^4-U52+V52/(1+U53)^5</f>
        <v>349104.75208392937</v>
      </c>
      <c r="N90" s="6"/>
      <c r="O90" s="6">
        <f t="shared" si="15"/>
        <v>450936.44659803429</v>
      </c>
    </row>
    <row r="91" spans="2:15" x14ac:dyDescent="0.25">
      <c r="B91" s="56" t="s">
        <v>60</v>
      </c>
      <c r="C91" s="57"/>
      <c r="D91" s="57"/>
      <c r="E91" s="57"/>
      <c r="F91" s="57"/>
      <c r="G91" s="57"/>
      <c r="H91" s="57"/>
      <c r="I91" s="58"/>
    </row>
    <row r="92" spans="2:15" x14ac:dyDescent="0.25">
      <c r="B92" s="59" t="s">
        <v>45</v>
      </c>
      <c r="C92" s="60"/>
      <c r="D92" s="61"/>
      <c r="E92" s="16">
        <f>M41+M44</f>
        <v>32850</v>
      </c>
      <c r="F92" s="16">
        <f t="shared" ref="F92:I92" si="16">N41+N44</f>
        <v>36857.699999999997</v>
      </c>
      <c r="G92" s="16">
        <f t="shared" si="16"/>
        <v>40414.468049999996</v>
      </c>
      <c r="H92" s="16">
        <f t="shared" si="16"/>
        <v>44479.167014700004</v>
      </c>
      <c r="I92" s="16">
        <f t="shared" si="16"/>
        <v>48186.2975892705</v>
      </c>
    </row>
    <row r="93" spans="2:15" x14ac:dyDescent="0.25">
      <c r="B93" s="59" t="s">
        <v>46</v>
      </c>
      <c r="C93" s="60"/>
      <c r="D93" s="61"/>
      <c r="E93" s="16">
        <f>M42+M43</f>
        <v>25450</v>
      </c>
      <c r="F93" s="16">
        <f t="shared" ref="F93:I93" si="17">N42+N43</f>
        <v>28362.120000000003</v>
      </c>
      <c r="G93" s="16">
        <f t="shared" si="17"/>
        <v>30886.698131999998</v>
      </c>
      <c r="H93" s="16">
        <f t="shared" si="17"/>
        <v>34426.347769411201</v>
      </c>
      <c r="I93" s="16">
        <f t="shared" si="17"/>
        <v>37496.744396941795</v>
      </c>
    </row>
    <row r="94" spans="2:15" x14ac:dyDescent="0.25">
      <c r="B94" s="59" t="s">
        <v>47</v>
      </c>
      <c r="C94" s="60"/>
      <c r="D94" s="61"/>
      <c r="E94" s="16">
        <f>SUM(M41:M44)</f>
        <v>58300</v>
      </c>
      <c r="F94" s="16">
        <f t="shared" ref="F94:I94" si="18">SUM(N41:N44)</f>
        <v>65219.820000000007</v>
      </c>
      <c r="G94" s="16">
        <f t="shared" si="18"/>
        <v>71301.166182000001</v>
      </c>
      <c r="H94" s="16">
        <f t="shared" si="18"/>
        <v>78905.514784111205</v>
      </c>
      <c r="I94" s="16">
        <f t="shared" si="18"/>
        <v>85683.041986212294</v>
      </c>
    </row>
    <row r="95" spans="2:15" x14ac:dyDescent="0.25">
      <c r="B95" s="53"/>
      <c r="C95" s="54"/>
      <c r="D95" s="54"/>
      <c r="E95" s="54"/>
      <c r="F95" s="54"/>
      <c r="G95" s="54"/>
      <c r="H95" s="54"/>
      <c r="I95" s="55"/>
    </row>
    <row r="96" spans="2:15" x14ac:dyDescent="0.25">
      <c r="B96" s="65" t="s">
        <v>61</v>
      </c>
      <c r="C96" s="66"/>
      <c r="D96" s="66"/>
      <c r="E96" s="66"/>
      <c r="F96" s="66"/>
      <c r="G96" s="66"/>
      <c r="H96" s="66"/>
      <c r="I96" s="67"/>
    </row>
    <row r="97" spans="2:9" x14ac:dyDescent="0.25">
      <c r="B97" s="68" t="s">
        <v>45</v>
      </c>
      <c r="C97" s="69"/>
      <c r="D97" s="70"/>
      <c r="E97" s="17">
        <f>E84-E88-E92</f>
        <v>5341.3500000000058</v>
      </c>
      <c r="F97" s="17">
        <f t="shared" ref="F97:I97" si="19">F84-F88-F92</f>
        <v>24451.319999999992</v>
      </c>
      <c r="G97" s="17">
        <f t="shared" si="19"/>
        <v>29522.954949999999</v>
      </c>
      <c r="H97" s="17">
        <f t="shared" si="19"/>
        <v>33735.431461700013</v>
      </c>
      <c r="I97" s="17">
        <f t="shared" si="19"/>
        <v>38542.127560709909</v>
      </c>
    </row>
    <row r="98" spans="2:9" x14ac:dyDescent="0.25">
      <c r="B98" s="68" t="s">
        <v>46</v>
      </c>
      <c r="C98" s="69"/>
      <c r="D98" s="70"/>
      <c r="E98" s="17">
        <f>E85-E88-E93</f>
        <v>-12758.649999999994</v>
      </c>
      <c r="F98" s="17">
        <f t="shared" ref="F98:I98" si="20">F85-F88-F93</f>
        <v>3693.2999999999811</v>
      </c>
      <c r="G98" s="17">
        <f t="shared" si="20"/>
        <v>6266.2643079999907</v>
      </c>
      <c r="H98" s="17">
        <f t="shared" si="20"/>
        <v>9705.7920592928058</v>
      </c>
      <c r="I98" s="17">
        <f t="shared" si="20"/>
        <v>13361.547907840199</v>
      </c>
    </row>
    <row r="99" spans="2:9" x14ac:dyDescent="0.25">
      <c r="B99" s="68" t="s">
        <v>47</v>
      </c>
      <c r="C99" s="69"/>
      <c r="D99" s="70"/>
      <c r="E99" s="17">
        <f>E86-E88-E94</f>
        <v>75391.350000000006</v>
      </c>
      <c r="F99" s="17">
        <f t="shared" ref="F99:I99" si="21">F86-F88-F94</f>
        <v>102597.59999999998</v>
      </c>
      <c r="G99" s="17">
        <f t="shared" si="21"/>
        <v>114714.82925800003</v>
      </c>
      <c r="H99" s="17">
        <f t="shared" si="21"/>
        <v>128787.48352099277</v>
      </c>
      <c r="I99" s="17">
        <f t="shared" si="21"/>
        <v>142179.29546855012</v>
      </c>
    </row>
    <row r="100" spans="2:9" x14ac:dyDescent="0.25">
      <c r="B100" s="53"/>
      <c r="C100" s="54"/>
      <c r="D100" s="54"/>
      <c r="E100" s="54"/>
      <c r="F100" s="54"/>
      <c r="G100" s="54"/>
      <c r="H100" s="54"/>
      <c r="I100" s="55"/>
    </row>
    <row r="101" spans="2:9" x14ac:dyDescent="0.25">
      <c r="B101" s="79" t="s">
        <v>62</v>
      </c>
      <c r="C101" s="80"/>
      <c r="D101" s="80"/>
      <c r="E101" s="80"/>
      <c r="F101" s="80"/>
      <c r="G101" s="80"/>
      <c r="H101" s="80"/>
      <c r="I101" s="81"/>
    </row>
    <row r="102" spans="2:9" x14ac:dyDescent="0.25">
      <c r="B102" s="62" t="s">
        <v>45</v>
      </c>
      <c r="C102" s="63"/>
      <c r="D102" s="64"/>
      <c r="E102" s="18">
        <f>E97*0.2</f>
        <v>1068.2700000000011</v>
      </c>
      <c r="F102" s="18">
        <f t="shared" ref="F102:I102" si="22">F97*0.2</f>
        <v>4890.2639999999983</v>
      </c>
      <c r="G102" s="18">
        <f t="shared" si="22"/>
        <v>5904.5909900000006</v>
      </c>
      <c r="H102" s="18">
        <f t="shared" si="22"/>
        <v>6747.0862923400027</v>
      </c>
      <c r="I102" s="18">
        <f t="shared" si="22"/>
        <v>7708.4255121419819</v>
      </c>
    </row>
    <row r="103" spans="2:9" x14ac:dyDescent="0.25">
      <c r="B103" s="62" t="s">
        <v>46</v>
      </c>
      <c r="C103" s="63"/>
      <c r="D103" s="64"/>
      <c r="E103" s="18">
        <f>E98*0.2</f>
        <v>-2551.7299999999991</v>
      </c>
      <c r="F103" s="18">
        <f t="shared" ref="F103:I103" si="23">F98*0.2</f>
        <v>738.65999999999622</v>
      </c>
      <c r="G103" s="18">
        <f t="shared" si="23"/>
        <v>1253.2528615999981</v>
      </c>
      <c r="H103" s="18">
        <f t="shared" si="23"/>
        <v>1941.1584118585613</v>
      </c>
      <c r="I103" s="18">
        <f t="shared" si="23"/>
        <v>2672.3095815680399</v>
      </c>
    </row>
    <row r="104" spans="2:9" x14ac:dyDescent="0.25">
      <c r="B104" s="62" t="s">
        <v>47</v>
      </c>
      <c r="C104" s="63"/>
      <c r="D104" s="64"/>
      <c r="E104" s="18">
        <f>E99*0.2</f>
        <v>15078.270000000002</v>
      </c>
      <c r="F104" s="18">
        <f t="shared" ref="F104:I104" si="24">F99*0.2</f>
        <v>20519.519999999997</v>
      </c>
      <c r="G104" s="18">
        <f t="shared" si="24"/>
        <v>22942.965851600005</v>
      </c>
      <c r="H104" s="18">
        <f t="shared" si="24"/>
        <v>25757.496704198555</v>
      </c>
      <c r="I104" s="18">
        <f t="shared" si="24"/>
        <v>28435.859093710023</v>
      </c>
    </row>
    <row r="105" spans="2:9" x14ac:dyDescent="0.25">
      <c r="B105" s="53"/>
      <c r="C105" s="54"/>
      <c r="D105" s="54"/>
      <c r="E105" s="54"/>
      <c r="F105" s="54"/>
      <c r="G105" s="54"/>
      <c r="H105" s="54"/>
      <c r="I105" s="55"/>
    </row>
    <row r="106" spans="2:9" x14ac:dyDescent="0.25">
      <c r="B106" s="76" t="s">
        <v>63</v>
      </c>
      <c r="C106" s="77"/>
      <c r="D106" s="77"/>
      <c r="E106" s="77"/>
      <c r="F106" s="77"/>
      <c r="G106" s="77"/>
      <c r="H106" s="77"/>
      <c r="I106" s="78"/>
    </row>
    <row r="107" spans="2:9" x14ac:dyDescent="0.25">
      <c r="B107" s="71" t="s">
        <v>45</v>
      </c>
      <c r="C107" s="72"/>
      <c r="D107" s="73"/>
      <c r="E107" s="19">
        <f>E97-E102</f>
        <v>4273.0800000000045</v>
      </c>
      <c r="F107" s="19">
        <f t="shared" ref="F107:I107" si="25">F97-F102</f>
        <v>19561.055999999993</v>
      </c>
      <c r="G107" s="19">
        <f t="shared" si="25"/>
        <v>23618.363959999999</v>
      </c>
      <c r="H107" s="19">
        <f t="shared" si="25"/>
        <v>26988.345169360011</v>
      </c>
      <c r="I107" s="19">
        <f t="shared" si="25"/>
        <v>30833.702048567928</v>
      </c>
    </row>
    <row r="108" spans="2:9" x14ac:dyDescent="0.25">
      <c r="B108" s="71" t="s">
        <v>46</v>
      </c>
      <c r="C108" s="72"/>
      <c r="D108" s="73"/>
      <c r="E108" s="19">
        <f>E98-E103</f>
        <v>-10206.919999999995</v>
      </c>
      <c r="F108" s="19">
        <f t="shared" ref="F108:I108" si="26">F98-F103</f>
        <v>2954.6399999999849</v>
      </c>
      <c r="G108" s="19">
        <f t="shared" si="26"/>
        <v>5013.0114463999926</v>
      </c>
      <c r="H108" s="19">
        <f t="shared" si="26"/>
        <v>7764.6336474342443</v>
      </c>
      <c r="I108" s="19">
        <f t="shared" si="26"/>
        <v>10689.23832627216</v>
      </c>
    </row>
    <row r="109" spans="2:9" x14ac:dyDescent="0.25">
      <c r="B109" s="71" t="s">
        <v>47</v>
      </c>
      <c r="C109" s="72"/>
      <c r="D109" s="73"/>
      <c r="E109" s="19">
        <f>E99-E104</f>
        <v>60313.08</v>
      </c>
      <c r="F109" s="19">
        <f t="shared" ref="F109:I109" si="27">F99-F104</f>
        <v>82078.079999999987</v>
      </c>
      <c r="G109" s="19">
        <f t="shared" si="27"/>
        <v>91771.863406400022</v>
      </c>
      <c r="H109" s="19">
        <f t="shared" si="27"/>
        <v>103029.98681679422</v>
      </c>
      <c r="I109" s="19">
        <f t="shared" si="27"/>
        <v>113743.43637484009</v>
      </c>
    </row>
    <row r="110" spans="2:9" x14ac:dyDescent="0.25">
      <c r="B110" s="53"/>
      <c r="C110" s="54"/>
      <c r="D110" s="54"/>
      <c r="E110" s="54"/>
      <c r="F110" s="54"/>
      <c r="G110" s="54"/>
      <c r="H110" s="54"/>
      <c r="I110" s="55"/>
    </row>
    <row r="111" spans="2:9" x14ac:dyDescent="0.25">
      <c r="B111" s="76" t="s">
        <v>64</v>
      </c>
      <c r="C111" s="77"/>
      <c r="D111" s="77"/>
      <c r="E111" s="77"/>
      <c r="F111" s="77"/>
      <c r="G111" s="77"/>
      <c r="H111" s="77"/>
      <c r="I111" s="78"/>
    </row>
    <row r="112" spans="2:9" x14ac:dyDescent="0.25">
      <c r="B112" s="71" t="s">
        <v>45</v>
      </c>
      <c r="C112" s="72"/>
      <c r="D112" s="73"/>
      <c r="E112" s="19">
        <f>E107</f>
        <v>4273.0800000000045</v>
      </c>
      <c r="F112" s="19">
        <f>F107+E112</f>
        <v>23834.135999999999</v>
      </c>
      <c r="G112" s="19">
        <f t="shared" ref="G112:I112" si="28">G107+F112</f>
        <v>47452.499960000001</v>
      </c>
      <c r="H112" s="19">
        <f t="shared" si="28"/>
        <v>74440.845129360008</v>
      </c>
      <c r="I112" s="19">
        <f t="shared" si="28"/>
        <v>105274.54717792793</v>
      </c>
    </row>
    <row r="113" spans="2:9" x14ac:dyDescent="0.25">
      <c r="B113" s="71" t="s">
        <v>46</v>
      </c>
      <c r="C113" s="72"/>
      <c r="D113" s="73"/>
      <c r="E113" s="19">
        <f t="shared" ref="E113:E114" si="29">E108</f>
        <v>-10206.919999999995</v>
      </c>
      <c r="F113" s="19">
        <f t="shared" ref="F113:I114" si="30">F108+E113</f>
        <v>-7252.2800000000097</v>
      </c>
      <c r="G113" s="19">
        <f t="shared" si="30"/>
        <v>-2239.2685536000172</v>
      </c>
      <c r="H113" s="19">
        <f t="shared" si="30"/>
        <v>5525.3650938342271</v>
      </c>
      <c r="I113" s="19">
        <f t="shared" si="30"/>
        <v>16214.603420106387</v>
      </c>
    </row>
    <row r="114" spans="2:9" x14ac:dyDescent="0.25">
      <c r="B114" s="71" t="s">
        <v>47</v>
      </c>
      <c r="C114" s="72"/>
      <c r="D114" s="73"/>
      <c r="E114" s="19">
        <f t="shared" si="29"/>
        <v>60313.08</v>
      </c>
      <c r="F114" s="19">
        <f t="shared" si="30"/>
        <v>142391.15999999997</v>
      </c>
      <c r="G114" s="19">
        <f t="shared" si="30"/>
        <v>234163.0234064</v>
      </c>
      <c r="H114" s="19">
        <f t="shared" si="30"/>
        <v>337193.0102231942</v>
      </c>
      <c r="I114" s="19">
        <f t="shared" si="30"/>
        <v>450936.44659803429</v>
      </c>
    </row>
  </sheetData>
  <mergeCells count="96">
    <mergeCell ref="L48:L49"/>
    <mergeCell ref="L55:S55"/>
    <mergeCell ref="T61:W63"/>
    <mergeCell ref="B114:D114"/>
    <mergeCell ref="B82:D82"/>
    <mergeCell ref="B109:D109"/>
    <mergeCell ref="B110:I110"/>
    <mergeCell ref="B111:I111"/>
    <mergeCell ref="B112:D112"/>
    <mergeCell ref="B113:D113"/>
    <mergeCell ref="B104:D104"/>
    <mergeCell ref="B105:I105"/>
    <mergeCell ref="B106:I106"/>
    <mergeCell ref="B107:D107"/>
    <mergeCell ref="B108:D108"/>
    <mergeCell ref="B99:D99"/>
    <mergeCell ref="B100:I100"/>
    <mergeCell ref="B101:I101"/>
    <mergeCell ref="B102:D102"/>
    <mergeCell ref="B103:D103"/>
    <mergeCell ref="B94:D94"/>
    <mergeCell ref="B95:I95"/>
    <mergeCell ref="B96:I96"/>
    <mergeCell ref="B97:D97"/>
    <mergeCell ref="B98:D98"/>
    <mergeCell ref="B89:D89"/>
    <mergeCell ref="B90:I90"/>
    <mergeCell ref="B91:I91"/>
    <mergeCell ref="B92:D92"/>
    <mergeCell ref="B93:D93"/>
    <mergeCell ref="B84:D84"/>
    <mergeCell ref="B85:D85"/>
    <mergeCell ref="B86:D86"/>
    <mergeCell ref="B87:I87"/>
    <mergeCell ref="B88:D88"/>
    <mergeCell ref="B74:D74"/>
    <mergeCell ref="B75:D75"/>
    <mergeCell ref="B76:D76"/>
    <mergeCell ref="B77:D77"/>
    <mergeCell ref="B83:I83"/>
    <mergeCell ref="B69:D69"/>
    <mergeCell ref="B70:D70"/>
    <mergeCell ref="B71:D71"/>
    <mergeCell ref="B72:D72"/>
    <mergeCell ref="B73:D73"/>
    <mergeCell ref="B65:D65"/>
    <mergeCell ref="B55:D55"/>
    <mergeCell ref="B56:D56"/>
    <mergeCell ref="B57:D57"/>
    <mergeCell ref="B64:D64"/>
    <mergeCell ref="B63:D63"/>
    <mergeCell ref="B62:D62"/>
    <mergeCell ref="B58:D58"/>
    <mergeCell ref="B50:H50"/>
    <mergeCell ref="B54:D54"/>
    <mergeCell ref="B30:F30"/>
    <mergeCell ref="B31:F31"/>
    <mergeCell ref="B32:F32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9:F49"/>
    <mergeCell ref="B14:F14"/>
    <mergeCell ref="B15:F15"/>
    <mergeCell ref="B16:F16"/>
    <mergeCell ref="B18:F18"/>
    <mergeCell ref="B29:F29"/>
    <mergeCell ref="B17:F17"/>
    <mergeCell ref="B10:F10"/>
    <mergeCell ref="B11:F11"/>
    <mergeCell ref="B3:F3"/>
    <mergeCell ref="B4:K4"/>
    <mergeCell ref="B33:F33"/>
    <mergeCell ref="B5:F5"/>
    <mergeCell ref="B6:F6"/>
    <mergeCell ref="B7:F7"/>
    <mergeCell ref="B8:K8"/>
    <mergeCell ref="B9:K9"/>
    <mergeCell ref="B19:F19"/>
    <mergeCell ref="B20:F20"/>
    <mergeCell ref="B21:K21"/>
    <mergeCell ref="B22:F22"/>
    <mergeCell ref="B12:K12"/>
    <mergeCell ref="B13:K13"/>
    <mergeCell ref="B44:F44"/>
    <mergeCell ref="B45:F45"/>
    <mergeCell ref="B46:F46"/>
    <mergeCell ref="B47:F47"/>
    <mergeCell ref="B48:F48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Javier</cp:lastModifiedBy>
  <dcterms:created xsi:type="dcterms:W3CDTF">2020-03-01T00:33:54Z</dcterms:created>
  <dcterms:modified xsi:type="dcterms:W3CDTF">2020-03-19T14:01:03Z</dcterms:modified>
</cp:coreProperties>
</file>