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GitHub\Gestion-de-Proyectos\LABORATORIO\PECL1\"/>
    </mc:Choice>
  </mc:AlternateContent>
  <xr:revisionPtr revIDLastSave="0" documentId="13_ncr:1_{EBAF99FE-6DC8-4CB8-8128-70C74F23B67B}" xr6:coauthVersionLast="44" xr6:coauthVersionMax="44" xr10:uidLastSave="{00000000-0000-0000-0000-000000000000}"/>
  <bookViews>
    <workbookView xWindow="-120" yWindow="-120" windowWidth="29040" windowHeight="15840" activeTab="2" xr2:uid="{00000000-000D-0000-FFFF-FFFF00000000}"/>
  </bookViews>
  <sheets>
    <sheet name="Viabilidad_Optimista" sheetId="1" r:id="rId1"/>
    <sheet name="Viabilidad_Conservadora" sheetId="2" r:id="rId2"/>
    <sheet name="Viabilidad_Pesimis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8" i="1" l="1"/>
  <c r="D40" i="2"/>
  <c r="D38" i="3"/>
  <c r="D11" i="3"/>
  <c r="D34" i="3"/>
  <c r="E34" i="3" l="1"/>
  <c r="F34" i="3"/>
  <c r="G34" i="3"/>
  <c r="H34" i="3"/>
  <c r="E34" i="2"/>
  <c r="F34" i="2"/>
  <c r="G34" i="2"/>
  <c r="H34" i="2"/>
  <c r="D34" i="2"/>
  <c r="E34" i="1"/>
  <c r="F34" i="1"/>
  <c r="G34" i="1"/>
  <c r="H34" i="1"/>
  <c r="D34" i="1"/>
  <c r="F29" i="3" l="1"/>
  <c r="G29" i="3" s="1"/>
  <c r="H29" i="3" s="1"/>
  <c r="E29" i="3"/>
  <c r="E25" i="3"/>
  <c r="F25" i="3"/>
  <c r="G25" i="3"/>
  <c r="H25" i="3"/>
  <c r="D25" i="3"/>
  <c r="F29" i="2"/>
  <c r="G29" i="2" s="1"/>
  <c r="H29" i="2" s="1"/>
  <c r="E29" i="2"/>
  <c r="F29" i="1"/>
  <c r="G29" i="1" s="1"/>
  <c r="H29" i="1" s="1"/>
  <c r="E29" i="1"/>
  <c r="H25" i="1"/>
  <c r="H25" i="2" l="1"/>
  <c r="D24" i="1"/>
  <c r="D25" i="1" s="1"/>
  <c r="F25" i="1"/>
  <c r="G25" i="1"/>
  <c r="E25" i="1"/>
  <c r="E30" i="3"/>
  <c r="F30" i="3" s="1"/>
  <c r="G30" i="3" s="1"/>
  <c r="H30" i="3" s="1"/>
  <c r="E28" i="3"/>
  <c r="F28" i="3"/>
  <c r="G28" i="3"/>
  <c r="H28" i="3" s="1"/>
  <c r="E27" i="3"/>
  <c r="F27" i="3" s="1"/>
  <c r="H19" i="3"/>
  <c r="G19" i="3"/>
  <c r="F19" i="3"/>
  <c r="E19" i="3"/>
  <c r="D19" i="3"/>
  <c r="H18" i="3"/>
  <c r="G18" i="3"/>
  <c r="F18" i="3"/>
  <c r="E18" i="3"/>
  <c r="D18" i="3"/>
  <c r="H17" i="3"/>
  <c r="G17" i="3"/>
  <c r="F17" i="3"/>
  <c r="E17" i="3"/>
  <c r="D17" i="3"/>
  <c r="H16" i="3"/>
  <c r="G16" i="3"/>
  <c r="F16" i="3"/>
  <c r="E16" i="3"/>
  <c r="D16" i="3"/>
  <c r="H15" i="3"/>
  <c r="H20" i="3" s="1"/>
  <c r="H31" i="3" s="1"/>
  <c r="G15" i="3"/>
  <c r="F15" i="3"/>
  <c r="F20" i="3" s="1"/>
  <c r="F31" i="3" s="1"/>
  <c r="E15" i="3"/>
  <c r="D15" i="3"/>
  <c r="H14" i="3"/>
  <c r="G14" i="3"/>
  <c r="F14" i="3"/>
  <c r="E14" i="3"/>
  <c r="D14" i="3"/>
  <c r="H11" i="3"/>
  <c r="G11" i="3"/>
  <c r="F11" i="3"/>
  <c r="E11" i="3"/>
  <c r="F25" i="2"/>
  <c r="D25" i="2"/>
  <c r="G25" i="2"/>
  <c r="E25" i="2"/>
  <c r="E30" i="2"/>
  <c r="F30" i="2"/>
  <c r="G30" i="2"/>
  <c r="H30" i="2" s="1"/>
  <c r="E28" i="2"/>
  <c r="F28" i="2"/>
  <c r="G28" i="2"/>
  <c r="H28" i="2"/>
  <c r="E27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E20" i="2" s="1"/>
  <c r="E31" i="2" s="1"/>
  <c r="D17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H11" i="2"/>
  <c r="G11" i="2"/>
  <c r="F11" i="2"/>
  <c r="E11" i="2"/>
  <c r="D11" i="2"/>
  <c r="E28" i="1"/>
  <c r="F28" i="1" s="1"/>
  <c r="G28" i="1" s="1"/>
  <c r="H28" i="1" s="1"/>
  <c r="E27" i="1"/>
  <c r="F27" i="1" s="1"/>
  <c r="G27" i="1" s="1"/>
  <c r="H27" i="1" s="1"/>
  <c r="H19" i="1"/>
  <c r="G19" i="1"/>
  <c r="F19" i="1"/>
  <c r="E19" i="1"/>
  <c r="D19" i="1"/>
  <c r="H18" i="1"/>
  <c r="G18" i="1"/>
  <c r="F18" i="1"/>
  <c r="E18" i="1"/>
  <c r="D18" i="1"/>
  <c r="H17" i="1"/>
  <c r="H16" i="1"/>
  <c r="G16" i="1"/>
  <c r="F16" i="1"/>
  <c r="E16" i="1"/>
  <c r="D16" i="1"/>
  <c r="E11" i="1"/>
  <c r="F11" i="1"/>
  <c r="G11" i="1"/>
  <c r="H11" i="1"/>
  <c r="D11" i="1"/>
  <c r="F27" i="2"/>
  <c r="G27" i="2" s="1"/>
  <c r="H27" i="2" s="1"/>
  <c r="E30" i="1"/>
  <c r="G17" i="1"/>
  <c r="F17" i="1"/>
  <c r="E17" i="1"/>
  <c r="D17" i="1"/>
  <c r="H15" i="1"/>
  <c r="G15" i="1"/>
  <c r="F15" i="1"/>
  <c r="E15" i="1"/>
  <c r="D15" i="1"/>
  <c r="H14" i="1"/>
  <c r="G14" i="1"/>
  <c r="F14" i="1"/>
  <c r="E14" i="1"/>
  <c r="D14" i="1"/>
  <c r="F30" i="1"/>
  <c r="G30" i="1" s="1"/>
  <c r="H30" i="1" s="1"/>
  <c r="G27" i="3" l="1"/>
  <c r="F36" i="3"/>
  <c r="F38" i="3" s="1"/>
  <c r="D20" i="3"/>
  <c r="G20" i="3"/>
  <c r="G31" i="3" s="1"/>
  <c r="E20" i="3"/>
  <c r="E31" i="3" s="1"/>
  <c r="D12" i="3"/>
  <c r="F20" i="2"/>
  <c r="F31" i="2" s="1"/>
  <c r="D20" i="2"/>
  <c r="G20" i="2"/>
  <c r="G31" i="2" s="1"/>
  <c r="H20" i="2"/>
  <c r="H31" i="2" s="1"/>
  <c r="H36" i="2" s="1"/>
  <c r="H38" i="2" s="1"/>
  <c r="H40" i="2" s="1"/>
  <c r="D12" i="2"/>
  <c r="F36" i="2"/>
  <c r="F38" i="2" s="1"/>
  <c r="G36" i="2"/>
  <c r="G38" i="2" s="1"/>
  <c r="G40" i="2" s="1"/>
  <c r="E36" i="2"/>
  <c r="E38" i="2" s="1"/>
  <c r="E40" i="2" s="1"/>
  <c r="D12" i="1"/>
  <c r="D20" i="1"/>
  <c r="D31" i="1" s="1"/>
  <c r="D31" i="3"/>
  <c r="D31" i="2"/>
  <c r="D36" i="2" s="1"/>
  <c r="E20" i="1"/>
  <c r="E31" i="1" s="1"/>
  <c r="F20" i="1"/>
  <c r="F31" i="1" s="1"/>
  <c r="G20" i="1"/>
  <c r="G31" i="1" s="1"/>
  <c r="H20" i="1"/>
  <c r="H31" i="1" s="1"/>
  <c r="H27" i="3" l="1"/>
  <c r="H36" i="3" s="1"/>
  <c r="G36" i="3"/>
  <c r="E36" i="3"/>
  <c r="D21" i="3"/>
  <c r="D36" i="3"/>
  <c r="D40" i="3" s="1"/>
  <c r="D42" i="3" s="1"/>
  <c r="F40" i="3"/>
  <c r="D21" i="2"/>
  <c r="F40" i="2"/>
  <c r="D36" i="1"/>
  <c r="D40" i="1" s="1"/>
  <c r="E36" i="1"/>
  <c r="E38" i="1" s="1"/>
  <c r="E40" i="1" s="1"/>
  <c r="F36" i="1"/>
  <c r="F38" i="1" s="1"/>
  <c r="F40" i="1" s="1"/>
  <c r="H36" i="1"/>
  <c r="H38" i="1" s="1"/>
  <c r="H40" i="1" s="1"/>
  <c r="G36" i="1"/>
  <c r="G38" i="1" s="1"/>
  <c r="G40" i="1" s="1"/>
  <c r="D38" i="2"/>
  <c r="D21" i="1"/>
  <c r="H38" i="3" l="1"/>
  <c r="H40" i="3" s="1"/>
  <c r="G38" i="3"/>
  <c r="G40" i="3" s="1"/>
  <c r="E38" i="3"/>
  <c r="E40" i="3" s="1"/>
  <c r="D42" i="2"/>
  <c r="E42" i="2" s="1"/>
  <c r="F42" i="2" s="1"/>
  <c r="G42" i="2" s="1"/>
  <c r="H42" i="2" s="1"/>
  <c r="D46" i="2" s="1"/>
  <c r="D45" i="2"/>
  <c r="D42" i="1"/>
  <c r="E42" i="1" s="1"/>
  <c r="F42" i="1" s="1"/>
  <c r="G42" i="1" s="1"/>
  <c r="H42" i="1" s="1"/>
  <c r="D46" i="1" s="1"/>
  <c r="D45" i="1"/>
  <c r="E42" i="3" l="1"/>
  <c r="F42" i="3" s="1"/>
  <c r="G42" i="3" s="1"/>
  <c r="H42" i="3" s="1"/>
  <c r="D46" i="3" s="1"/>
  <c r="D45" i="3"/>
</calcChain>
</file>

<file path=xl/sharedStrings.xml><?xml version="1.0" encoding="utf-8"?>
<sst xmlns="http://schemas.openxmlformats.org/spreadsheetml/2006/main" count="153" uniqueCount="49">
  <si>
    <t>AÑO 1</t>
  </si>
  <si>
    <t>AÑO 2</t>
  </si>
  <si>
    <t>AÑO 3</t>
  </si>
  <si>
    <t>AÑO 4</t>
  </si>
  <si>
    <t>AÑO 5</t>
  </si>
  <si>
    <t>INVERSIONES</t>
  </si>
  <si>
    <t>Primer Establecimiento</t>
  </si>
  <si>
    <t>Página Web</t>
  </si>
  <si>
    <t>Licencias software desarrollo de la aplicación</t>
  </si>
  <si>
    <t>Mobiliario y material de oficina</t>
  </si>
  <si>
    <t>Equipos informáticos</t>
  </si>
  <si>
    <t>Dispositivos móviles (ANDROID)</t>
  </si>
  <si>
    <t>TOTAL Inversiones por Año</t>
  </si>
  <si>
    <t>TOTAL Inversión Proyecto</t>
  </si>
  <si>
    <t>AMORTIZACIONES</t>
  </si>
  <si>
    <t>Mobiliario</t>
  </si>
  <si>
    <t>TOTAL Amortizaciones por Año</t>
  </si>
  <si>
    <t>TOTAL Amortizaciones Proyecto</t>
  </si>
  <si>
    <t>INGRESOS</t>
  </si>
  <si>
    <t>TOTAL Ingresos Anual</t>
  </si>
  <si>
    <t>GASTOS FIJOS</t>
  </si>
  <si>
    <t>Personal</t>
  </si>
  <si>
    <t>Alquileres</t>
  </si>
  <si>
    <t>Gastos Generales</t>
  </si>
  <si>
    <t>Seguros y Tributos</t>
  </si>
  <si>
    <t>Anotaciones Varianza de Gastos</t>
  </si>
  <si>
    <t>Amortizaciones</t>
  </si>
  <si>
    <t>El gasto en personal se incrementará en un 5% anualmente</t>
  </si>
  <si>
    <t>El gasto en seguros y tributos se incrementará en un 5% anualmente</t>
  </si>
  <si>
    <t>El gasto en alquileres aumentará anualmente un 4%</t>
  </si>
  <si>
    <t>Gastos ocasionales e imprevistos</t>
  </si>
  <si>
    <t>TOTAL Gastos Fijos Anual</t>
  </si>
  <si>
    <t>BENEFICIOS</t>
  </si>
  <si>
    <t>IMPUESTOS SOBRE BENEFICIOS (20%)</t>
  </si>
  <si>
    <t>BENEFICIOS NETOS</t>
  </si>
  <si>
    <t>BENEFICIOS ACUMULADOS NETO FINAL</t>
  </si>
  <si>
    <t>VAN (5% de Inflación)</t>
  </si>
  <si>
    <t>ROI</t>
  </si>
  <si>
    <t>Creación empresa</t>
  </si>
  <si>
    <t xml:space="preserve">Hosting </t>
  </si>
  <si>
    <t>Publicidad</t>
  </si>
  <si>
    <t>Marketing de afiliación</t>
  </si>
  <si>
    <t>Se obtienen ingresos por marketing de afiliación y publicidad</t>
  </si>
  <si>
    <t>Al ser la alternatuva conservadora los gastos generales aumentan un 5% anual</t>
  </si>
  <si>
    <t>Al ser la alternatuva optimista los gastos generales aumentan un 15% anual</t>
  </si>
  <si>
    <t>Al ser la alternatuva pesimista los gastos generales disminuyen 5% anualmente</t>
  </si>
  <si>
    <t>Los gastos de publicidad aumentan mucho al expandirse internacionalmente</t>
  </si>
  <si>
    <t>Los gastos de publicidad aumentan a partir del tercer año para intentar mejorar los ingresos</t>
  </si>
  <si>
    <t>Los gastos de publicidad aumentan poco a poco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</si>
</sst>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/>
    </xf>
    <xf numFmtId="44" fontId="0" fillId="0" borderId="1" xfId="1" applyFont="1" applyBorder="1"/>
    <xf numFmtId="44" fontId="3" fillId="3" borderId="1" xfId="1" applyFont="1" applyFill="1" applyBorder="1"/>
    <xf numFmtId="44" fontId="0" fillId="0" borderId="1" xfId="0" applyNumberFormat="1" applyBorder="1"/>
    <xf numFmtId="44" fontId="3" fillId="3" borderId="1" xfId="0" applyNumberFormat="1" applyFont="1" applyFill="1" applyBorder="1"/>
    <xf numFmtId="44" fontId="0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4" fontId="2" fillId="4" borderId="3" xfId="1" applyFont="1" applyFill="1" applyBorder="1" applyAlignment="1">
      <alignment horizontal="center"/>
    </xf>
    <xf numFmtId="44" fontId="2" fillId="4" borderId="4" xfId="1" applyFont="1" applyFill="1" applyBorder="1" applyAlignment="1">
      <alignment horizontal="center"/>
    </xf>
    <xf numFmtId="44" fontId="2" fillId="4" borderId="5" xfId="1" applyFont="1" applyFill="1" applyBorder="1" applyAlignment="1">
      <alignment horizontal="center"/>
    </xf>
    <xf numFmtId="44" fontId="0" fillId="0" borderId="3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4" fontId="3" fillId="3" borderId="3" xfId="1" applyFont="1" applyFill="1" applyBorder="1" applyAlignment="1">
      <alignment horizontal="center"/>
    </xf>
    <xf numFmtId="44" fontId="3" fillId="3" borderId="4" xfId="1" applyFont="1" applyFill="1" applyBorder="1" applyAlignment="1">
      <alignment horizontal="center"/>
    </xf>
    <xf numFmtId="44" fontId="3" fillId="3" borderId="5" xfId="1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zoomScale="80" zoomScaleNormal="80" workbookViewId="0">
      <selection activeCell="N18" sqref="N18"/>
    </sheetView>
  </sheetViews>
  <sheetFormatPr baseColWidth="10" defaultColWidth="11.42578125" defaultRowHeight="15" x14ac:dyDescent="0.25"/>
  <cols>
    <col min="3" max="3" width="25.42578125" customWidth="1"/>
    <col min="4" max="4" width="13.85546875" bestFit="1" customWidth="1"/>
    <col min="5" max="5" width="13.7109375" bestFit="1" customWidth="1"/>
    <col min="6" max="6" width="13.85546875" customWidth="1"/>
    <col min="7" max="7" width="15.42578125" customWidth="1"/>
    <col min="8" max="8" width="15.7109375" customWidth="1"/>
    <col min="14" max="14" width="25.42578125" customWidth="1"/>
    <col min="15" max="15" width="19.140625" customWidth="1"/>
    <col min="16" max="16" width="17" customWidth="1"/>
    <col min="22" max="22" width="11.5703125" customWidth="1"/>
  </cols>
  <sheetData>
    <row r="1" spans="1:8" x14ac:dyDescent="0.25">
      <c r="A1" s="9"/>
      <c r="B1" s="9"/>
      <c r="C1" s="9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25" t="s">
        <v>5</v>
      </c>
      <c r="B2" s="25"/>
      <c r="C2" s="25"/>
      <c r="D2" s="25"/>
      <c r="E2" s="25"/>
      <c r="F2" s="25"/>
      <c r="G2" s="25"/>
      <c r="H2" s="25"/>
    </row>
    <row r="3" spans="1:8" x14ac:dyDescent="0.25">
      <c r="A3" s="9" t="s">
        <v>38</v>
      </c>
      <c r="B3" s="9"/>
      <c r="C3" s="9"/>
      <c r="D3" s="6">
        <v>1000</v>
      </c>
      <c r="E3" s="6">
        <v>0</v>
      </c>
      <c r="F3" s="6">
        <v>0</v>
      </c>
      <c r="G3" s="6">
        <v>0</v>
      </c>
      <c r="H3" s="6">
        <v>0</v>
      </c>
    </row>
    <row r="4" spans="1:8" x14ac:dyDescent="0.25">
      <c r="A4" s="9" t="s">
        <v>6</v>
      </c>
      <c r="B4" s="9"/>
      <c r="C4" s="9"/>
      <c r="D4" s="6">
        <v>3500</v>
      </c>
      <c r="E4" s="6">
        <v>0</v>
      </c>
      <c r="F4" s="6">
        <v>0</v>
      </c>
      <c r="G4" s="6">
        <v>0</v>
      </c>
      <c r="H4" s="6">
        <v>0</v>
      </c>
    </row>
    <row r="5" spans="1:8" x14ac:dyDescent="0.25">
      <c r="A5" s="10" t="s">
        <v>39</v>
      </c>
      <c r="B5" s="11"/>
      <c r="C5" s="12"/>
      <c r="D5" s="6">
        <v>2500</v>
      </c>
      <c r="E5" s="7">
        <v>2500</v>
      </c>
      <c r="F5" s="7">
        <v>2500</v>
      </c>
      <c r="G5" s="7">
        <v>2500</v>
      </c>
      <c r="H5" s="7">
        <v>2500</v>
      </c>
    </row>
    <row r="6" spans="1:8" x14ac:dyDescent="0.25">
      <c r="A6" s="24" t="s">
        <v>7</v>
      </c>
      <c r="B6" s="24"/>
      <c r="C6" s="24"/>
      <c r="D6" s="2">
        <v>750</v>
      </c>
      <c r="E6" s="2">
        <v>100</v>
      </c>
      <c r="F6" s="2">
        <v>100</v>
      </c>
      <c r="G6" s="2">
        <v>100</v>
      </c>
      <c r="H6" s="2">
        <v>100</v>
      </c>
    </row>
    <row r="7" spans="1:8" x14ac:dyDescent="0.25">
      <c r="A7" s="24" t="s">
        <v>8</v>
      </c>
      <c r="B7" s="24"/>
      <c r="C7" s="24"/>
      <c r="D7" s="2">
        <v>4000</v>
      </c>
      <c r="E7" s="2">
        <v>0</v>
      </c>
      <c r="F7" s="2">
        <v>0</v>
      </c>
      <c r="G7" s="2">
        <v>0</v>
      </c>
      <c r="H7" s="2">
        <v>0</v>
      </c>
    </row>
    <row r="8" spans="1:8" x14ac:dyDescent="0.25">
      <c r="A8" s="24" t="s">
        <v>9</v>
      </c>
      <c r="B8" s="24"/>
      <c r="C8" s="24"/>
      <c r="D8" s="2">
        <v>3500</v>
      </c>
      <c r="E8" s="2">
        <v>0</v>
      </c>
      <c r="F8" s="2">
        <v>0</v>
      </c>
      <c r="G8" s="2">
        <v>0</v>
      </c>
      <c r="H8" s="2">
        <v>0</v>
      </c>
    </row>
    <row r="9" spans="1:8" x14ac:dyDescent="0.25">
      <c r="A9" s="21" t="s">
        <v>10</v>
      </c>
      <c r="B9" s="22"/>
      <c r="C9" s="23"/>
      <c r="D9" s="2">
        <v>25000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5">
      <c r="A10" s="21" t="s">
        <v>11</v>
      </c>
      <c r="B10" s="22"/>
      <c r="C10" s="23"/>
      <c r="D10" s="2">
        <v>4200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25">
      <c r="A11" s="26" t="s">
        <v>12</v>
      </c>
      <c r="B11" s="27"/>
      <c r="C11" s="28"/>
      <c r="D11" s="3">
        <f>+D3+D4+D6+D7+D8+D9+D10</f>
        <v>41950</v>
      </c>
      <c r="E11" s="3">
        <f t="shared" ref="E11:H11" si="0">+E3+E4+E6+E7+E8+E9+E10</f>
        <v>100</v>
      </c>
      <c r="F11" s="3">
        <f t="shared" si="0"/>
        <v>100</v>
      </c>
      <c r="G11" s="3">
        <f t="shared" si="0"/>
        <v>100</v>
      </c>
      <c r="H11" s="3">
        <f t="shared" si="0"/>
        <v>100</v>
      </c>
    </row>
    <row r="12" spans="1:8" x14ac:dyDescent="0.25">
      <c r="A12" s="18" t="s">
        <v>13</v>
      </c>
      <c r="B12" s="19"/>
      <c r="C12" s="20"/>
      <c r="D12" s="16">
        <f>D11+E11+F11+G11+H11</f>
        <v>42350</v>
      </c>
      <c r="E12" s="16"/>
      <c r="F12" s="16"/>
      <c r="G12" s="16"/>
      <c r="H12" s="16"/>
    </row>
    <row r="13" spans="1:8" x14ac:dyDescent="0.25">
      <c r="A13" s="17" t="s">
        <v>14</v>
      </c>
      <c r="B13" s="17"/>
      <c r="C13" s="17"/>
      <c r="D13" s="17"/>
      <c r="E13" s="17"/>
      <c r="F13" s="17"/>
      <c r="G13" s="17"/>
      <c r="H13" s="17"/>
    </row>
    <row r="14" spans="1:8" x14ac:dyDescent="0.25">
      <c r="A14" s="9" t="s">
        <v>38</v>
      </c>
      <c r="B14" s="9"/>
      <c r="C14" s="9"/>
      <c r="D14" s="2">
        <f>D3/5</f>
        <v>200</v>
      </c>
      <c r="E14" s="2">
        <f>D3/5</f>
        <v>200</v>
      </c>
      <c r="F14" s="2">
        <f>D3/5</f>
        <v>200</v>
      </c>
      <c r="G14" s="2">
        <f>D3/5</f>
        <v>200</v>
      </c>
      <c r="H14" s="2">
        <f>D3/5</f>
        <v>200</v>
      </c>
    </row>
    <row r="15" spans="1:8" x14ac:dyDescent="0.25">
      <c r="A15" s="9" t="s">
        <v>6</v>
      </c>
      <c r="B15" s="9"/>
      <c r="C15" s="9"/>
      <c r="D15" s="2">
        <f>D4/5</f>
        <v>700</v>
      </c>
      <c r="E15" s="2">
        <f>D4/5</f>
        <v>700</v>
      </c>
      <c r="F15" s="2">
        <f>D4/5</f>
        <v>700</v>
      </c>
      <c r="G15" s="2">
        <f>D4/5</f>
        <v>700</v>
      </c>
      <c r="H15" s="2">
        <f>D4/5</f>
        <v>700</v>
      </c>
    </row>
    <row r="16" spans="1:8" x14ac:dyDescent="0.25">
      <c r="A16" s="24" t="s">
        <v>8</v>
      </c>
      <c r="B16" s="24"/>
      <c r="C16" s="24"/>
      <c r="D16" s="2">
        <f>D7/5</f>
        <v>800</v>
      </c>
      <c r="E16" s="2">
        <f>D7/5</f>
        <v>800</v>
      </c>
      <c r="F16" s="2">
        <f>D7/5</f>
        <v>800</v>
      </c>
      <c r="G16" s="2">
        <f>D7/5</f>
        <v>800</v>
      </c>
      <c r="H16" s="2">
        <f>D7/5</f>
        <v>800</v>
      </c>
    </row>
    <row r="17" spans="1:8" x14ac:dyDescent="0.25">
      <c r="A17" s="24" t="s">
        <v>15</v>
      </c>
      <c r="B17" s="24"/>
      <c r="C17" s="24"/>
      <c r="D17" s="2">
        <f>D8/5</f>
        <v>700</v>
      </c>
      <c r="E17" s="2">
        <f>D8/5</f>
        <v>700</v>
      </c>
      <c r="F17" s="2">
        <f>D8/5</f>
        <v>700</v>
      </c>
      <c r="G17" s="2">
        <f>D8/5</f>
        <v>700</v>
      </c>
      <c r="H17" s="2">
        <f>D8/5</f>
        <v>700</v>
      </c>
    </row>
    <row r="18" spans="1:8" x14ac:dyDescent="0.25">
      <c r="A18" s="21" t="s">
        <v>10</v>
      </c>
      <c r="B18" s="22"/>
      <c r="C18" s="23"/>
      <c r="D18" s="2">
        <f>D9/5</f>
        <v>5000</v>
      </c>
      <c r="E18" s="2">
        <f>D9/5</f>
        <v>5000</v>
      </c>
      <c r="F18" s="2">
        <f>D9/5</f>
        <v>5000</v>
      </c>
      <c r="G18" s="2">
        <f>D9/5</f>
        <v>5000</v>
      </c>
      <c r="H18" s="2">
        <f>D9/5</f>
        <v>5000</v>
      </c>
    </row>
    <row r="19" spans="1:8" x14ac:dyDescent="0.25">
      <c r="A19" s="21" t="s">
        <v>11</v>
      </c>
      <c r="B19" s="22"/>
      <c r="C19" s="23"/>
      <c r="D19" s="2">
        <f>D10/5</f>
        <v>840</v>
      </c>
      <c r="E19" s="2">
        <f>D10/5</f>
        <v>840</v>
      </c>
      <c r="F19" s="2">
        <f>D10/5</f>
        <v>840</v>
      </c>
      <c r="G19" s="2">
        <f>D10/5</f>
        <v>840</v>
      </c>
      <c r="H19" s="2">
        <f>D10/5</f>
        <v>840</v>
      </c>
    </row>
    <row r="20" spans="1:8" x14ac:dyDescent="0.25">
      <c r="A20" s="26" t="s">
        <v>16</v>
      </c>
      <c r="B20" s="27"/>
      <c r="C20" s="28"/>
      <c r="D20" s="3">
        <f>D14+D15+D17+D18+D19+D16</f>
        <v>8240</v>
      </c>
      <c r="E20" s="3">
        <f t="shared" ref="E20:H20" si="1">E14+E15+E17+E18+E19+E16</f>
        <v>8240</v>
      </c>
      <c r="F20" s="3">
        <f t="shared" si="1"/>
        <v>8240</v>
      </c>
      <c r="G20" s="3">
        <f t="shared" si="1"/>
        <v>8240</v>
      </c>
      <c r="H20" s="3">
        <f t="shared" si="1"/>
        <v>8240</v>
      </c>
    </row>
    <row r="21" spans="1:8" x14ac:dyDescent="0.25">
      <c r="A21" s="18" t="s">
        <v>17</v>
      </c>
      <c r="B21" s="19"/>
      <c r="C21" s="20"/>
      <c r="D21" s="16">
        <f>D20+E20+F20+G20+H20</f>
        <v>41200</v>
      </c>
      <c r="E21" s="16"/>
      <c r="F21" s="16"/>
      <c r="G21" s="16"/>
      <c r="H21" s="16"/>
    </row>
    <row r="22" spans="1:8" x14ac:dyDescent="0.25">
      <c r="A22" s="17" t="s">
        <v>18</v>
      </c>
      <c r="B22" s="17"/>
      <c r="C22" s="17"/>
      <c r="D22" s="17"/>
      <c r="E22" s="17"/>
      <c r="F22" s="17"/>
      <c r="G22" s="17"/>
      <c r="H22" s="17"/>
    </row>
    <row r="23" spans="1:8" x14ac:dyDescent="0.25">
      <c r="A23" s="9" t="s">
        <v>40</v>
      </c>
      <c r="B23" s="9"/>
      <c r="C23" s="9"/>
      <c r="D23" s="6"/>
      <c r="E23" s="6">
        <v>170000</v>
      </c>
      <c r="F23" s="6">
        <v>200000</v>
      </c>
      <c r="G23" s="6">
        <v>225000</v>
      </c>
      <c r="H23" s="6">
        <v>250000</v>
      </c>
    </row>
    <row r="24" spans="1:8" x14ac:dyDescent="0.25">
      <c r="A24" s="9" t="s">
        <v>41</v>
      </c>
      <c r="B24" s="9"/>
      <c r="C24" s="9"/>
      <c r="D24" s="4">
        <f>10*5000</f>
        <v>50000</v>
      </c>
      <c r="E24" s="4">
        <v>210000</v>
      </c>
      <c r="F24" s="4">
        <v>270000</v>
      </c>
      <c r="G24" s="4">
        <v>350000</v>
      </c>
      <c r="H24" s="4">
        <v>500000</v>
      </c>
    </row>
    <row r="25" spans="1:8" x14ac:dyDescent="0.25">
      <c r="A25" s="8" t="s">
        <v>19</v>
      </c>
      <c r="B25" s="8"/>
      <c r="C25" s="8"/>
      <c r="D25" s="5">
        <f>D24+D23</f>
        <v>50000</v>
      </c>
      <c r="E25" s="5">
        <f>E24+E23</f>
        <v>380000</v>
      </c>
      <c r="F25" s="5">
        <f t="shared" ref="F25:H25" si="2">F24+F23</f>
        <v>470000</v>
      </c>
      <c r="G25" s="5">
        <f t="shared" si="2"/>
        <v>575000</v>
      </c>
      <c r="H25" s="5">
        <f t="shared" si="2"/>
        <v>750000</v>
      </c>
    </row>
    <row r="26" spans="1:8" x14ac:dyDescent="0.25">
      <c r="A26" s="17" t="s">
        <v>20</v>
      </c>
      <c r="B26" s="17"/>
      <c r="C26" s="17"/>
      <c r="D26" s="17"/>
      <c r="E26" s="17"/>
      <c r="F26" s="17"/>
      <c r="G26" s="17"/>
      <c r="H26" s="17"/>
    </row>
    <row r="27" spans="1:8" x14ac:dyDescent="0.25">
      <c r="A27" s="9" t="s">
        <v>21</v>
      </c>
      <c r="B27" s="9"/>
      <c r="C27" s="9"/>
      <c r="D27" s="2">
        <v>124984.5</v>
      </c>
      <c r="E27" s="2">
        <f>D27+(D27*0.05)</f>
        <v>131233.72500000001</v>
      </c>
      <c r="F27" s="2">
        <f>E27+(E27*0.05)</f>
        <v>137795.41125</v>
      </c>
      <c r="G27" s="2">
        <f>F27+(F27*0.05)</f>
        <v>144685.1818125</v>
      </c>
      <c r="H27" s="2">
        <f>G27+(G27*0.05)</f>
        <v>151919.44090312501</v>
      </c>
    </row>
    <row r="28" spans="1:8" x14ac:dyDescent="0.25">
      <c r="A28" s="9" t="s">
        <v>22</v>
      </c>
      <c r="B28" s="9"/>
      <c r="C28" s="9"/>
      <c r="D28" s="2">
        <v>3600</v>
      </c>
      <c r="E28" s="2">
        <f>D28+(D28*0.04)</f>
        <v>3744</v>
      </c>
      <c r="F28" s="2">
        <f>E28+(E28*0.04)</f>
        <v>3893.76</v>
      </c>
      <c r="G28" s="2">
        <f>F28+(F28*0.04)</f>
        <v>4049.5104000000001</v>
      </c>
      <c r="H28" s="2">
        <f>G28+(G28*0.04)</f>
        <v>4211.4908160000005</v>
      </c>
    </row>
    <row r="29" spans="1:8" x14ac:dyDescent="0.25">
      <c r="A29" s="9" t="s">
        <v>23</v>
      </c>
      <c r="B29" s="9"/>
      <c r="C29" s="9"/>
      <c r="D29" s="2">
        <v>5000</v>
      </c>
      <c r="E29" s="2">
        <f>D29+(D29*0.15)</f>
        <v>5750</v>
      </c>
      <c r="F29" s="2">
        <f>E29+(E29*0.15)</f>
        <v>6612.5</v>
      </c>
      <c r="G29" s="2">
        <f>F29+(F29*0.15)</f>
        <v>7604.375</v>
      </c>
      <c r="H29" s="2">
        <f>G29+(G29*0.15)</f>
        <v>8745.03125</v>
      </c>
    </row>
    <row r="30" spans="1:8" x14ac:dyDescent="0.25">
      <c r="A30" s="9" t="s">
        <v>24</v>
      </c>
      <c r="B30" s="9"/>
      <c r="C30" s="9"/>
      <c r="D30" s="2">
        <v>465</v>
      </c>
      <c r="E30" s="2">
        <f>D30+(D30*0.05)</f>
        <v>488.25</v>
      </c>
      <c r="F30" s="2">
        <f t="shared" ref="F30:H30" si="3">E30+(E30*0.05)</f>
        <v>512.66250000000002</v>
      </c>
      <c r="G30" s="2">
        <f t="shared" si="3"/>
        <v>538.29562499999997</v>
      </c>
      <c r="H30" s="2">
        <f t="shared" si="3"/>
        <v>565.21040625000001</v>
      </c>
    </row>
    <row r="31" spans="1:8" x14ac:dyDescent="0.25">
      <c r="A31" s="9" t="s">
        <v>26</v>
      </c>
      <c r="B31" s="9"/>
      <c r="C31" s="9"/>
      <c r="D31" s="2">
        <f>D20</f>
        <v>8240</v>
      </c>
      <c r="E31" s="2">
        <f>E20</f>
        <v>8240</v>
      </c>
      <c r="F31" s="2">
        <f>F20</f>
        <v>8240</v>
      </c>
      <c r="G31" s="2">
        <f>G20</f>
        <v>8240</v>
      </c>
      <c r="H31" s="2">
        <f>H20</f>
        <v>8240</v>
      </c>
    </row>
    <row r="32" spans="1:8" x14ac:dyDescent="0.25">
      <c r="A32" s="10" t="s">
        <v>40</v>
      </c>
      <c r="B32" s="11"/>
      <c r="C32" s="12"/>
      <c r="D32" s="2"/>
      <c r="E32" s="2">
        <v>15000</v>
      </c>
      <c r="F32" s="2">
        <v>25000</v>
      </c>
      <c r="G32" s="2">
        <v>35000</v>
      </c>
      <c r="H32" s="2">
        <v>55000</v>
      </c>
    </row>
    <row r="33" spans="1:14" x14ac:dyDescent="0.25">
      <c r="A33" s="9" t="s">
        <v>30</v>
      </c>
      <c r="B33" s="9"/>
      <c r="C33" s="9"/>
      <c r="D33" s="2">
        <v>2000</v>
      </c>
      <c r="E33" s="2">
        <v>2000</v>
      </c>
      <c r="F33" s="2">
        <v>2000</v>
      </c>
      <c r="G33" s="2">
        <v>2000</v>
      </c>
      <c r="H33" s="2">
        <v>2000</v>
      </c>
    </row>
    <row r="34" spans="1:14" x14ac:dyDescent="0.25">
      <c r="A34" s="8" t="s">
        <v>31</v>
      </c>
      <c r="B34" s="8"/>
      <c r="C34" s="8"/>
      <c r="D34" s="3">
        <f>D27+D28+D29+D30+D31+D32+D33</f>
        <v>144289.5</v>
      </c>
      <c r="E34" s="3">
        <f t="shared" ref="E34:H34" si="4">E27+E28+E29+E30+E31+E32+E33</f>
        <v>166455.97500000001</v>
      </c>
      <c r="F34" s="3">
        <f t="shared" si="4"/>
        <v>184054.33375000002</v>
      </c>
      <c r="G34" s="3">
        <f t="shared" si="4"/>
        <v>202117.3628375</v>
      </c>
      <c r="H34" s="3">
        <f t="shared" si="4"/>
        <v>230681.17337537502</v>
      </c>
      <c r="J34" s="13" t="s">
        <v>25</v>
      </c>
      <c r="K34" s="14"/>
      <c r="L34" s="14"/>
      <c r="M34" s="14"/>
      <c r="N34" s="15"/>
    </row>
    <row r="35" spans="1:14" x14ac:dyDescent="0.25">
      <c r="A35" s="17" t="s">
        <v>32</v>
      </c>
      <c r="B35" s="17"/>
      <c r="C35" s="17"/>
      <c r="D35" s="17"/>
      <c r="E35" s="17"/>
      <c r="F35" s="17"/>
      <c r="G35" s="17"/>
      <c r="H35" s="17"/>
      <c r="J35" s="10" t="s">
        <v>27</v>
      </c>
      <c r="K35" s="11"/>
      <c r="L35" s="11"/>
      <c r="M35" s="11"/>
      <c r="N35" s="12"/>
    </row>
    <row r="36" spans="1:14" x14ac:dyDescent="0.25">
      <c r="A36" s="9"/>
      <c r="B36" s="9"/>
      <c r="C36" s="9"/>
      <c r="D36" s="4">
        <f>D25-D34-D11</f>
        <v>-136239.5</v>
      </c>
      <c r="E36" s="4">
        <f>E25-E34-E11</f>
        <v>213444.02499999999</v>
      </c>
      <c r="F36" s="4">
        <f>F25-F34-F11</f>
        <v>285845.66625000001</v>
      </c>
      <c r="G36" s="4">
        <f>G25-G34-G11</f>
        <v>372782.6371625</v>
      </c>
      <c r="H36" s="4">
        <f>H25-H34-H11</f>
        <v>519218.82662462501</v>
      </c>
      <c r="J36" s="10" t="s">
        <v>28</v>
      </c>
      <c r="K36" s="11"/>
      <c r="L36" s="11"/>
      <c r="M36" s="11"/>
      <c r="N36" s="12"/>
    </row>
    <row r="37" spans="1:14" x14ac:dyDescent="0.25">
      <c r="A37" s="25" t="s">
        <v>33</v>
      </c>
      <c r="B37" s="25"/>
      <c r="C37" s="25"/>
      <c r="D37" s="25"/>
      <c r="E37" s="25"/>
      <c r="F37" s="25"/>
      <c r="G37" s="25"/>
      <c r="H37" s="25"/>
      <c r="J37" s="10" t="s">
        <v>29</v>
      </c>
      <c r="K37" s="11"/>
      <c r="L37" s="11"/>
      <c r="M37" s="11"/>
      <c r="N37" s="12"/>
    </row>
    <row r="38" spans="1:14" x14ac:dyDescent="0.25">
      <c r="A38" s="9"/>
      <c r="B38" s="9"/>
      <c r="C38" s="9"/>
      <c r="D38" s="4">
        <f>D36*0.2*(-1)</f>
        <v>27247.9</v>
      </c>
      <c r="E38" s="4">
        <f t="shared" ref="E38:H38" si="5">E36*0.2</f>
        <v>42688.805</v>
      </c>
      <c r="F38" s="4">
        <f t="shared" si="5"/>
        <v>57169.133250000006</v>
      </c>
      <c r="G38" s="4">
        <f t="shared" si="5"/>
        <v>74556.527432500006</v>
      </c>
      <c r="H38" s="4">
        <f t="shared" si="5"/>
        <v>103843.76532492501</v>
      </c>
      <c r="J38" s="10" t="s">
        <v>44</v>
      </c>
      <c r="K38" s="11"/>
      <c r="L38" s="11"/>
      <c r="M38" s="11"/>
      <c r="N38" s="12"/>
    </row>
    <row r="39" spans="1:14" x14ac:dyDescent="0.25">
      <c r="A39" s="25" t="s">
        <v>34</v>
      </c>
      <c r="B39" s="25"/>
      <c r="C39" s="25"/>
      <c r="D39" s="25"/>
      <c r="E39" s="25"/>
      <c r="F39" s="25"/>
      <c r="G39" s="25"/>
      <c r="H39" s="25"/>
      <c r="J39" s="10" t="s">
        <v>42</v>
      </c>
      <c r="K39" s="11"/>
      <c r="L39" s="11"/>
      <c r="M39" s="11"/>
      <c r="N39" s="12"/>
    </row>
    <row r="40" spans="1:14" x14ac:dyDescent="0.25">
      <c r="A40" s="9"/>
      <c r="B40" s="9"/>
      <c r="C40" s="9"/>
      <c r="D40" s="4">
        <f>D36-D38</f>
        <v>-163487.4</v>
      </c>
      <c r="E40" s="4">
        <f t="shared" ref="E40:H40" si="6">E36-E38</f>
        <v>170755.22</v>
      </c>
      <c r="F40" s="4">
        <f t="shared" si="6"/>
        <v>228676.533</v>
      </c>
      <c r="G40" s="4">
        <f t="shared" si="6"/>
        <v>298226.10973000003</v>
      </c>
      <c r="H40" s="4">
        <f t="shared" si="6"/>
        <v>415375.0612997</v>
      </c>
      <c r="J40" s="9" t="s">
        <v>46</v>
      </c>
      <c r="K40" s="9"/>
      <c r="L40" s="9"/>
      <c r="M40" s="9"/>
      <c r="N40" s="9"/>
    </row>
    <row r="41" spans="1:14" x14ac:dyDescent="0.25">
      <c r="A41" s="25" t="s">
        <v>35</v>
      </c>
      <c r="B41" s="25"/>
      <c r="C41" s="25"/>
      <c r="D41" s="25"/>
      <c r="E41" s="25"/>
      <c r="F41" s="25"/>
      <c r="G41" s="25"/>
      <c r="H41" s="25"/>
    </row>
    <row r="42" spans="1:14" x14ac:dyDescent="0.25">
      <c r="A42" s="9"/>
      <c r="B42" s="9"/>
      <c r="C42" s="9"/>
      <c r="D42" s="5">
        <f>D40</f>
        <v>-163487.4</v>
      </c>
      <c r="E42" s="5">
        <f>D42+E40</f>
        <v>7267.820000000007</v>
      </c>
      <c r="F42" s="5">
        <f t="shared" ref="F42:H42" si="7">E42+F40</f>
        <v>235944.353</v>
      </c>
      <c r="G42" s="5">
        <f t="shared" si="7"/>
        <v>534170.46273000003</v>
      </c>
      <c r="H42" s="5">
        <f t="shared" si="7"/>
        <v>949545.52402970009</v>
      </c>
    </row>
    <row r="45" spans="1:14" x14ac:dyDescent="0.25">
      <c r="A45" s="8" t="s">
        <v>36</v>
      </c>
      <c r="B45" s="8"/>
      <c r="C45" s="8"/>
      <c r="D45" s="29">
        <f>-D12+(D40/(1+0.05))+(E40/((1+0.05)^2))+(F40/((1+0.05)^3))+(G40/((1+0.05)^4))+(H40/((1+0.05)^5))</f>
        <v>725175.70748270908</v>
      </c>
      <c r="E45" s="29"/>
      <c r="F45" s="29"/>
      <c r="G45" s="29"/>
      <c r="H45" s="29"/>
    </row>
    <row r="46" spans="1:14" x14ac:dyDescent="0.25">
      <c r="A46" s="8" t="s">
        <v>37</v>
      </c>
      <c r="B46" s="8"/>
      <c r="C46" s="8"/>
      <c r="D46" s="30">
        <f>H42</f>
        <v>949545.52402970009</v>
      </c>
      <c r="E46" s="8"/>
      <c r="F46" s="8"/>
      <c r="G46" s="8"/>
      <c r="H46" s="8"/>
    </row>
  </sheetData>
  <mergeCells count="55">
    <mergeCell ref="J39:N39"/>
    <mergeCell ref="J38:N38"/>
    <mergeCell ref="J37:N37"/>
    <mergeCell ref="J40:N40"/>
    <mergeCell ref="A45:C45"/>
    <mergeCell ref="D45:H45"/>
    <mergeCell ref="A46:C46"/>
    <mergeCell ref="D46:H46"/>
    <mergeCell ref="A41:H41"/>
    <mergeCell ref="A42:C42"/>
    <mergeCell ref="A38:C38"/>
    <mergeCell ref="A39:H39"/>
    <mergeCell ref="A40:C40"/>
    <mergeCell ref="A35:H35"/>
    <mergeCell ref="A36:C36"/>
    <mergeCell ref="A37:H37"/>
    <mergeCell ref="A1:C1"/>
    <mergeCell ref="A2:H2"/>
    <mergeCell ref="A3:C3"/>
    <mergeCell ref="A20:C20"/>
    <mergeCell ref="A4:C4"/>
    <mergeCell ref="A7:C7"/>
    <mergeCell ref="A8:C8"/>
    <mergeCell ref="A12:C12"/>
    <mergeCell ref="A6:C6"/>
    <mergeCell ref="A10:C10"/>
    <mergeCell ref="A9:C9"/>
    <mergeCell ref="A5:C5"/>
    <mergeCell ref="D12:H12"/>
    <mergeCell ref="A11:C11"/>
    <mergeCell ref="A13:H13"/>
    <mergeCell ref="A14:C14"/>
    <mergeCell ref="A15:C15"/>
    <mergeCell ref="A19:C19"/>
    <mergeCell ref="A17:C17"/>
    <mergeCell ref="A18:C18"/>
    <mergeCell ref="A16:C16"/>
    <mergeCell ref="D21:H21"/>
    <mergeCell ref="A22:H22"/>
    <mergeCell ref="A24:C24"/>
    <mergeCell ref="A21:C21"/>
    <mergeCell ref="A23:C23"/>
    <mergeCell ref="A25:C25"/>
    <mergeCell ref="A29:C29"/>
    <mergeCell ref="A30:C30"/>
    <mergeCell ref="J36:N36"/>
    <mergeCell ref="J35:N35"/>
    <mergeCell ref="A31:C31"/>
    <mergeCell ref="J34:N34"/>
    <mergeCell ref="A26:H26"/>
    <mergeCell ref="A27:C27"/>
    <mergeCell ref="A34:C34"/>
    <mergeCell ref="A28:C28"/>
    <mergeCell ref="A33:C33"/>
    <mergeCell ref="A32:C32"/>
  </mergeCells>
  <pageMargins left="0.7" right="0.7" top="0.75" bottom="0.75" header="0.3" footer="0.3"/>
  <pageSetup paperSize="9" orientation="portrait" horizontalDpi="4294967293" verticalDpi="4294967293" r:id="rId1"/>
  <ignoredErrors>
    <ignoredError sqref="D17:G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zoomScale="80" zoomScaleNormal="80" workbookViewId="0">
      <selection activeCell="N24" sqref="N24"/>
    </sheetView>
  </sheetViews>
  <sheetFormatPr baseColWidth="10" defaultColWidth="11.42578125" defaultRowHeight="15" x14ac:dyDescent="0.25"/>
  <cols>
    <col min="3" max="3" width="25.42578125" customWidth="1"/>
    <col min="4" max="4" width="13.85546875" bestFit="1" customWidth="1"/>
    <col min="5" max="5" width="13.7109375" bestFit="1" customWidth="1"/>
    <col min="6" max="6" width="13.85546875" customWidth="1"/>
    <col min="7" max="7" width="15.42578125" customWidth="1"/>
    <col min="8" max="8" width="15.7109375" customWidth="1"/>
    <col min="14" max="14" width="45.7109375" customWidth="1"/>
    <col min="15" max="15" width="19.140625" customWidth="1"/>
    <col min="16" max="16" width="17" customWidth="1"/>
    <col min="22" max="22" width="11.5703125" customWidth="1"/>
  </cols>
  <sheetData>
    <row r="1" spans="1:8" x14ac:dyDescent="0.25">
      <c r="A1" s="9"/>
      <c r="B1" s="9"/>
      <c r="C1" s="9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25" t="s">
        <v>5</v>
      </c>
      <c r="B2" s="25"/>
      <c r="C2" s="25"/>
      <c r="D2" s="25"/>
      <c r="E2" s="25"/>
      <c r="F2" s="25"/>
      <c r="G2" s="25"/>
      <c r="H2" s="25"/>
    </row>
    <row r="3" spans="1:8" x14ac:dyDescent="0.25">
      <c r="A3" s="9" t="s">
        <v>38</v>
      </c>
      <c r="B3" s="9"/>
      <c r="C3" s="9"/>
      <c r="D3" s="7">
        <v>1000</v>
      </c>
      <c r="E3" s="7">
        <v>0</v>
      </c>
      <c r="F3" s="7">
        <v>0</v>
      </c>
      <c r="G3" s="7">
        <v>0</v>
      </c>
      <c r="H3" s="7">
        <v>0</v>
      </c>
    </row>
    <row r="4" spans="1:8" x14ac:dyDescent="0.25">
      <c r="A4" s="9" t="s">
        <v>6</v>
      </c>
      <c r="B4" s="9"/>
      <c r="C4" s="9"/>
      <c r="D4" s="7">
        <v>3500</v>
      </c>
      <c r="E4" s="7">
        <v>0</v>
      </c>
      <c r="F4" s="7">
        <v>0</v>
      </c>
      <c r="G4" s="7">
        <v>0</v>
      </c>
      <c r="H4" s="7">
        <v>0</v>
      </c>
    </row>
    <row r="5" spans="1:8" x14ac:dyDescent="0.25">
      <c r="A5" s="10" t="s">
        <v>39</v>
      </c>
      <c r="B5" s="11"/>
      <c r="C5" s="12"/>
      <c r="D5" s="7">
        <v>2500</v>
      </c>
      <c r="E5" s="7">
        <v>2500</v>
      </c>
      <c r="F5" s="7">
        <v>2500</v>
      </c>
      <c r="G5" s="7">
        <v>2500</v>
      </c>
      <c r="H5" s="7">
        <v>2500</v>
      </c>
    </row>
    <row r="6" spans="1:8" x14ac:dyDescent="0.25">
      <c r="A6" s="24" t="s">
        <v>7</v>
      </c>
      <c r="B6" s="24"/>
      <c r="C6" s="24"/>
      <c r="D6" s="2">
        <v>750</v>
      </c>
      <c r="E6" s="2">
        <v>100</v>
      </c>
      <c r="F6" s="2">
        <v>100</v>
      </c>
      <c r="G6" s="2">
        <v>100</v>
      </c>
      <c r="H6" s="2">
        <v>100</v>
      </c>
    </row>
    <row r="7" spans="1:8" x14ac:dyDescent="0.25">
      <c r="A7" s="24" t="s">
        <v>8</v>
      </c>
      <c r="B7" s="24"/>
      <c r="C7" s="24"/>
      <c r="D7" s="2">
        <v>4000</v>
      </c>
      <c r="E7" s="2">
        <v>0</v>
      </c>
      <c r="F7" s="2">
        <v>0</v>
      </c>
      <c r="G7" s="2">
        <v>0</v>
      </c>
      <c r="H7" s="2">
        <v>0</v>
      </c>
    </row>
    <row r="8" spans="1:8" x14ac:dyDescent="0.25">
      <c r="A8" s="24" t="s">
        <v>9</v>
      </c>
      <c r="B8" s="24"/>
      <c r="C8" s="24"/>
      <c r="D8" s="2">
        <v>3500</v>
      </c>
      <c r="E8" s="2">
        <v>0</v>
      </c>
      <c r="F8" s="2">
        <v>0</v>
      </c>
      <c r="G8" s="2">
        <v>0</v>
      </c>
      <c r="H8" s="2">
        <v>0</v>
      </c>
    </row>
    <row r="9" spans="1:8" x14ac:dyDescent="0.25">
      <c r="A9" s="21" t="s">
        <v>10</v>
      </c>
      <c r="B9" s="22"/>
      <c r="C9" s="23"/>
      <c r="D9" s="2">
        <v>25000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5">
      <c r="A10" s="21" t="s">
        <v>11</v>
      </c>
      <c r="B10" s="22"/>
      <c r="C10" s="23"/>
      <c r="D10" s="2">
        <v>4200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25">
      <c r="A11" s="26" t="s">
        <v>12</v>
      </c>
      <c r="B11" s="27"/>
      <c r="C11" s="28"/>
      <c r="D11" s="3">
        <f>+D3+D4+D6+D7+D8+D9+D10</f>
        <v>41950</v>
      </c>
      <c r="E11" s="3">
        <f t="shared" ref="E11:H11" si="0">+E3+E4+E6+E7+E8+E9+E10</f>
        <v>100</v>
      </c>
      <c r="F11" s="3">
        <f t="shared" si="0"/>
        <v>100</v>
      </c>
      <c r="G11" s="3">
        <f t="shared" si="0"/>
        <v>100</v>
      </c>
      <c r="H11" s="3">
        <f t="shared" si="0"/>
        <v>100</v>
      </c>
    </row>
    <row r="12" spans="1:8" x14ac:dyDescent="0.25">
      <c r="A12" s="18" t="s">
        <v>13</v>
      </c>
      <c r="B12" s="19"/>
      <c r="C12" s="20"/>
      <c r="D12" s="16">
        <f>D11+E11+F11+G11+H11</f>
        <v>42350</v>
      </c>
      <c r="E12" s="16"/>
      <c r="F12" s="16"/>
      <c r="G12" s="16"/>
      <c r="H12" s="16"/>
    </row>
    <row r="13" spans="1:8" x14ac:dyDescent="0.25">
      <c r="A13" s="17" t="s">
        <v>14</v>
      </c>
      <c r="B13" s="17"/>
      <c r="C13" s="17"/>
      <c r="D13" s="17"/>
      <c r="E13" s="17"/>
      <c r="F13" s="17"/>
      <c r="G13" s="17"/>
      <c r="H13" s="17"/>
    </row>
    <row r="14" spans="1:8" x14ac:dyDescent="0.25">
      <c r="A14" s="9" t="s">
        <v>38</v>
      </c>
      <c r="B14" s="9"/>
      <c r="C14" s="9"/>
      <c r="D14" s="2">
        <f>D3/5</f>
        <v>200</v>
      </c>
      <c r="E14" s="2">
        <f>D3/5</f>
        <v>200</v>
      </c>
      <c r="F14" s="2">
        <f>D3/5</f>
        <v>200</v>
      </c>
      <c r="G14" s="2">
        <f>D3/5</f>
        <v>200</v>
      </c>
      <c r="H14" s="2">
        <f>D3/5</f>
        <v>200</v>
      </c>
    </row>
    <row r="15" spans="1:8" x14ac:dyDescent="0.25">
      <c r="A15" s="9" t="s">
        <v>6</v>
      </c>
      <c r="B15" s="9"/>
      <c r="C15" s="9"/>
      <c r="D15" s="2">
        <f>D4/5</f>
        <v>700</v>
      </c>
      <c r="E15" s="2">
        <f>D4/5</f>
        <v>700</v>
      </c>
      <c r="F15" s="2">
        <f>D4/5</f>
        <v>700</v>
      </c>
      <c r="G15" s="2">
        <f>D4/5</f>
        <v>700</v>
      </c>
      <c r="H15" s="2">
        <f>D4/5</f>
        <v>700</v>
      </c>
    </row>
    <row r="16" spans="1:8" x14ac:dyDescent="0.25">
      <c r="A16" s="24" t="s">
        <v>8</v>
      </c>
      <c r="B16" s="24"/>
      <c r="C16" s="24"/>
      <c r="D16" s="2">
        <f>D7/5</f>
        <v>800</v>
      </c>
      <c r="E16" s="2">
        <f>D7/5</f>
        <v>800</v>
      </c>
      <c r="F16" s="2">
        <f>D7/5</f>
        <v>800</v>
      </c>
      <c r="G16" s="2">
        <f>D7/5</f>
        <v>800</v>
      </c>
      <c r="H16" s="2">
        <f>D7/5</f>
        <v>800</v>
      </c>
    </row>
    <row r="17" spans="1:8" x14ac:dyDescent="0.25">
      <c r="A17" s="24" t="s">
        <v>15</v>
      </c>
      <c r="B17" s="24"/>
      <c r="C17" s="24"/>
      <c r="D17" s="2">
        <f>D8/5</f>
        <v>700</v>
      </c>
      <c r="E17" s="2">
        <f>D8/5</f>
        <v>700</v>
      </c>
      <c r="F17" s="2">
        <f>D8/5</f>
        <v>700</v>
      </c>
      <c r="G17" s="2">
        <f>D8/5</f>
        <v>700</v>
      </c>
      <c r="H17" s="2">
        <f>D8/5</f>
        <v>700</v>
      </c>
    </row>
    <row r="18" spans="1:8" x14ac:dyDescent="0.25">
      <c r="A18" s="21" t="s">
        <v>10</v>
      </c>
      <c r="B18" s="22"/>
      <c r="C18" s="23"/>
      <c r="D18" s="2">
        <f>D9/5</f>
        <v>5000</v>
      </c>
      <c r="E18" s="2">
        <f>D9/5</f>
        <v>5000</v>
      </c>
      <c r="F18" s="2">
        <f>D9/5</f>
        <v>5000</v>
      </c>
      <c r="G18" s="2">
        <f>D9/5</f>
        <v>5000</v>
      </c>
      <c r="H18" s="2">
        <f>D9/5</f>
        <v>5000</v>
      </c>
    </row>
    <row r="19" spans="1:8" x14ac:dyDescent="0.25">
      <c r="A19" s="21" t="s">
        <v>11</v>
      </c>
      <c r="B19" s="22"/>
      <c r="C19" s="23"/>
      <c r="D19" s="2">
        <f>D10/5</f>
        <v>840</v>
      </c>
      <c r="E19" s="2">
        <f>D10/5</f>
        <v>840</v>
      </c>
      <c r="F19" s="2">
        <f>D10/5</f>
        <v>840</v>
      </c>
      <c r="G19" s="2">
        <f>D10/5</f>
        <v>840</v>
      </c>
      <c r="H19" s="2">
        <f>D10/5</f>
        <v>840</v>
      </c>
    </row>
    <row r="20" spans="1:8" x14ac:dyDescent="0.25">
      <c r="A20" s="26" t="s">
        <v>16</v>
      </c>
      <c r="B20" s="27"/>
      <c r="C20" s="28"/>
      <c r="D20" s="3">
        <f>D14+D15+D17+D18+D19+D16</f>
        <v>8240</v>
      </c>
      <c r="E20" s="3">
        <f t="shared" ref="E20:H20" si="1">E14+E15+E17+E18+E19+E16</f>
        <v>8240</v>
      </c>
      <c r="F20" s="3">
        <f t="shared" si="1"/>
        <v>8240</v>
      </c>
      <c r="G20" s="3">
        <f t="shared" si="1"/>
        <v>8240</v>
      </c>
      <c r="H20" s="3">
        <f t="shared" si="1"/>
        <v>8240</v>
      </c>
    </row>
    <row r="21" spans="1:8" x14ac:dyDescent="0.25">
      <c r="A21" s="18" t="s">
        <v>17</v>
      </c>
      <c r="B21" s="19"/>
      <c r="C21" s="20"/>
      <c r="D21" s="16">
        <f>D20+E20+F20+G20+H20</f>
        <v>41200</v>
      </c>
      <c r="E21" s="16"/>
      <c r="F21" s="16"/>
      <c r="G21" s="16"/>
      <c r="H21" s="16"/>
    </row>
    <row r="22" spans="1:8" x14ac:dyDescent="0.25">
      <c r="A22" s="17" t="s">
        <v>18</v>
      </c>
      <c r="B22" s="17"/>
      <c r="C22" s="17"/>
      <c r="D22" s="17"/>
      <c r="E22" s="17"/>
      <c r="F22" s="17"/>
      <c r="G22" s="17"/>
      <c r="H22" s="17"/>
    </row>
    <row r="23" spans="1:8" x14ac:dyDescent="0.25">
      <c r="A23" s="9" t="s">
        <v>40</v>
      </c>
      <c r="B23" s="9"/>
      <c r="C23" s="9"/>
      <c r="D23" s="6"/>
      <c r="E23" s="6">
        <v>75000</v>
      </c>
      <c r="F23" s="6">
        <v>90000</v>
      </c>
      <c r="G23" s="6">
        <v>100000</v>
      </c>
      <c r="H23" s="6">
        <v>100000</v>
      </c>
    </row>
    <row r="24" spans="1:8" x14ac:dyDescent="0.25">
      <c r="A24" s="9" t="s">
        <v>41</v>
      </c>
      <c r="B24" s="9"/>
      <c r="C24" s="9"/>
      <c r="D24" s="4">
        <v>35000</v>
      </c>
      <c r="E24" s="4">
        <v>100000</v>
      </c>
      <c r="F24" s="4">
        <v>125000</v>
      </c>
      <c r="G24" s="4">
        <v>150000</v>
      </c>
      <c r="H24" s="4">
        <v>200000</v>
      </c>
    </row>
    <row r="25" spans="1:8" x14ac:dyDescent="0.25">
      <c r="A25" s="8" t="s">
        <v>19</v>
      </c>
      <c r="B25" s="8"/>
      <c r="C25" s="8"/>
      <c r="D25" s="5">
        <f>D24+D23</f>
        <v>35000</v>
      </c>
      <c r="E25" s="5">
        <f>E24+E23</f>
        <v>175000</v>
      </c>
      <c r="F25" s="5">
        <f>F24+F23</f>
        <v>215000</v>
      </c>
      <c r="G25" s="5">
        <f>G24+H23</f>
        <v>250000</v>
      </c>
      <c r="H25" s="5">
        <f>H24+H23</f>
        <v>300000</v>
      </c>
    </row>
    <row r="26" spans="1:8" x14ac:dyDescent="0.25">
      <c r="A26" s="17" t="s">
        <v>20</v>
      </c>
      <c r="B26" s="17"/>
      <c r="C26" s="17"/>
      <c r="D26" s="17"/>
      <c r="E26" s="17"/>
      <c r="F26" s="17"/>
      <c r="G26" s="17"/>
      <c r="H26" s="17"/>
    </row>
    <row r="27" spans="1:8" x14ac:dyDescent="0.25">
      <c r="A27" s="9" t="s">
        <v>21</v>
      </c>
      <c r="B27" s="9"/>
      <c r="C27" s="9"/>
      <c r="D27" s="2">
        <v>124984.5</v>
      </c>
      <c r="E27" s="2">
        <f>D27+(D27*0.05)</f>
        <v>131233.72500000001</v>
      </c>
      <c r="F27" s="2">
        <f>E27+(E27*0.05)</f>
        <v>137795.41125</v>
      </c>
      <c r="G27" s="2">
        <f>F27+(F27*0.05)</f>
        <v>144685.1818125</v>
      </c>
      <c r="H27" s="2">
        <f>G27+(G27*0.05)</f>
        <v>151919.44090312501</v>
      </c>
    </row>
    <row r="28" spans="1:8" x14ac:dyDescent="0.25">
      <c r="A28" s="9" t="s">
        <v>22</v>
      </c>
      <c r="B28" s="9"/>
      <c r="C28" s="9"/>
      <c r="D28" s="2">
        <v>3600</v>
      </c>
      <c r="E28" s="2">
        <f>D28+(D28*0.04)</f>
        <v>3744</v>
      </c>
      <c r="F28" s="2">
        <f>E28+(E28*0.04)</f>
        <v>3893.76</v>
      </c>
      <c r="G28" s="2">
        <f>F28+(F28*0.04)</f>
        <v>4049.5104000000001</v>
      </c>
      <c r="H28" s="2">
        <f>G28+(G28*0.04)</f>
        <v>4211.4908160000005</v>
      </c>
    </row>
    <row r="29" spans="1:8" x14ac:dyDescent="0.25">
      <c r="A29" s="9" t="s">
        <v>23</v>
      </c>
      <c r="B29" s="9"/>
      <c r="C29" s="9"/>
      <c r="D29" s="2">
        <v>5000</v>
      </c>
      <c r="E29" s="2">
        <f>D29+(D29*0.05)</f>
        <v>5250</v>
      </c>
      <c r="F29" s="2">
        <f>E29+(E29*0.05)</f>
        <v>5512.5</v>
      </c>
      <c r="G29" s="2">
        <f>F29+(F29*0.05)</f>
        <v>5788.125</v>
      </c>
      <c r="H29" s="2">
        <f>G29+(G29*0.05)</f>
        <v>6077.53125</v>
      </c>
    </row>
    <row r="30" spans="1:8" x14ac:dyDescent="0.25">
      <c r="A30" s="9" t="s">
        <v>24</v>
      </c>
      <c r="B30" s="9"/>
      <c r="C30" s="9"/>
      <c r="D30" s="2">
        <v>465</v>
      </c>
      <c r="E30" s="2">
        <f>D30+(D30*0.05)</f>
        <v>488.25</v>
      </c>
      <c r="F30" s="2">
        <f t="shared" ref="F30:H30" si="2">E30+(E30*0.05)</f>
        <v>512.66250000000002</v>
      </c>
      <c r="G30" s="2">
        <f t="shared" si="2"/>
        <v>538.29562499999997</v>
      </c>
      <c r="H30" s="2">
        <f t="shared" si="2"/>
        <v>565.21040625000001</v>
      </c>
    </row>
    <row r="31" spans="1:8" x14ac:dyDescent="0.25">
      <c r="A31" s="9" t="s">
        <v>26</v>
      </c>
      <c r="B31" s="9"/>
      <c r="C31" s="9"/>
      <c r="D31" s="2">
        <f>D20</f>
        <v>8240</v>
      </c>
      <c r="E31" s="2">
        <f>E20</f>
        <v>8240</v>
      </c>
      <c r="F31" s="2">
        <f>F20</f>
        <v>8240</v>
      </c>
      <c r="G31" s="2">
        <f>G20</f>
        <v>8240</v>
      </c>
      <c r="H31" s="2">
        <f>H20</f>
        <v>8240</v>
      </c>
    </row>
    <row r="32" spans="1:8" x14ac:dyDescent="0.25">
      <c r="A32" s="10" t="s">
        <v>40</v>
      </c>
      <c r="B32" s="11"/>
      <c r="C32" s="12"/>
      <c r="D32" s="2"/>
      <c r="E32" s="2">
        <v>5000</v>
      </c>
      <c r="F32" s="2">
        <v>7000</v>
      </c>
      <c r="G32" s="2">
        <v>10000</v>
      </c>
      <c r="H32" s="2">
        <v>12000</v>
      </c>
    </row>
    <row r="33" spans="1:14" x14ac:dyDescent="0.25">
      <c r="A33" s="9" t="s">
        <v>30</v>
      </c>
      <c r="B33" s="9"/>
      <c r="C33" s="9"/>
      <c r="D33" s="2">
        <v>2000</v>
      </c>
      <c r="E33" s="2">
        <v>2000</v>
      </c>
      <c r="F33" s="2">
        <v>2000</v>
      </c>
      <c r="G33" s="2">
        <v>2000</v>
      </c>
      <c r="H33" s="2">
        <v>2000</v>
      </c>
    </row>
    <row r="34" spans="1:14" x14ac:dyDescent="0.25">
      <c r="A34" s="8" t="s">
        <v>31</v>
      </c>
      <c r="B34" s="8"/>
      <c r="C34" s="8"/>
      <c r="D34" s="3">
        <f>D27+D28+D29+D30+D31+D32+D33</f>
        <v>144289.5</v>
      </c>
      <c r="E34" s="3">
        <f t="shared" ref="E34:H34" si="3">E27+E28+E29+E30+E31+E32+E33</f>
        <v>155955.97500000001</v>
      </c>
      <c r="F34" s="3">
        <f t="shared" si="3"/>
        <v>164954.33375000002</v>
      </c>
      <c r="G34" s="3">
        <f t="shared" si="3"/>
        <v>175301.1128375</v>
      </c>
      <c r="H34" s="3">
        <f t="shared" si="3"/>
        <v>185013.67337537502</v>
      </c>
      <c r="J34" s="13" t="s">
        <v>25</v>
      </c>
      <c r="K34" s="14"/>
      <c r="L34" s="14"/>
      <c r="M34" s="14"/>
      <c r="N34" s="15"/>
    </row>
    <row r="35" spans="1:14" x14ac:dyDescent="0.25">
      <c r="A35" s="17" t="s">
        <v>32</v>
      </c>
      <c r="B35" s="17"/>
      <c r="C35" s="17"/>
      <c r="D35" s="17"/>
      <c r="E35" s="17"/>
      <c r="F35" s="17"/>
      <c r="G35" s="17"/>
      <c r="H35" s="17"/>
      <c r="J35" s="10" t="s">
        <v>27</v>
      </c>
      <c r="K35" s="11"/>
      <c r="L35" s="11"/>
      <c r="M35" s="11"/>
      <c r="N35" s="12"/>
    </row>
    <row r="36" spans="1:14" x14ac:dyDescent="0.25">
      <c r="A36" s="9"/>
      <c r="B36" s="9"/>
      <c r="C36" s="9"/>
      <c r="D36" s="4">
        <f>D25-D34-D11+D23</f>
        <v>-151239.5</v>
      </c>
      <c r="E36" s="4">
        <f>E25-E34-E11+E23</f>
        <v>93944.024999999994</v>
      </c>
      <c r="F36" s="4">
        <f>F25-F34-F11+F23</f>
        <v>139945.66624999998</v>
      </c>
      <c r="G36" s="4">
        <f>G25-G34-G11+H23</f>
        <v>174598.8871625</v>
      </c>
      <c r="H36" s="4">
        <f>H25-H34-H11+H23</f>
        <v>214886.32662462498</v>
      </c>
      <c r="J36" s="10" t="s">
        <v>28</v>
      </c>
      <c r="K36" s="11"/>
      <c r="L36" s="11"/>
      <c r="M36" s="11"/>
      <c r="N36" s="12"/>
    </row>
    <row r="37" spans="1:14" x14ac:dyDescent="0.25">
      <c r="A37" s="25" t="s">
        <v>33</v>
      </c>
      <c r="B37" s="25"/>
      <c r="C37" s="25"/>
      <c r="D37" s="25"/>
      <c r="E37" s="25"/>
      <c r="F37" s="25"/>
      <c r="G37" s="25"/>
      <c r="H37" s="25"/>
      <c r="J37" s="10" t="s">
        <v>29</v>
      </c>
      <c r="K37" s="11"/>
      <c r="L37" s="11"/>
      <c r="M37" s="11"/>
      <c r="N37" s="12"/>
    </row>
    <row r="38" spans="1:14" x14ac:dyDescent="0.25">
      <c r="A38" s="9"/>
      <c r="B38" s="9"/>
      <c r="C38" s="9"/>
      <c r="D38" s="4">
        <f>D36*0.2</f>
        <v>-30247.9</v>
      </c>
      <c r="E38" s="4">
        <f t="shared" ref="E38:H38" si="4">E36*0.2</f>
        <v>18788.805</v>
      </c>
      <c r="F38" s="4">
        <f t="shared" si="4"/>
        <v>27989.133249999999</v>
      </c>
      <c r="G38" s="4">
        <f t="shared" si="4"/>
        <v>34919.777432499999</v>
      </c>
      <c r="H38" s="4">
        <f t="shared" si="4"/>
        <v>42977.265324925</v>
      </c>
      <c r="J38" s="10" t="s">
        <v>43</v>
      </c>
      <c r="K38" s="11"/>
      <c r="L38" s="11"/>
      <c r="M38" s="11"/>
      <c r="N38" s="12"/>
    </row>
    <row r="39" spans="1:14" x14ac:dyDescent="0.25">
      <c r="A39" s="25" t="s">
        <v>34</v>
      </c>
      <c r="B39" s="25"/>
      <c r="C39" s="25"/>
      <c r="D39" s="25"/>
      <c r="E39" s="25"/>
      <c r="F39" s="25"/>
      <c r="G39" s="25"/>
      <c r="H39" s="25"/>
      <c r="J39" s="10" t="s">
        <v>42</v>
      </c>
      <c r="K39" s="11"/>
      <c r="L39" s="11"/>
      <c r="M39" s="11"/>
      <c r="N39" s="12"/>
    </row>
    <row r="40" spans="1:14" x14ac:dyDescent="0.25">
      <c r="A40" s="9"/>
      <c r="B40" s="9"/>
      <c r="C40" s="9"/>
      <c r="D40" s="4">
        <f>D36-D38*(-1)</f>
        <v>-181487.4</v>
      </c>
      <c r="E40" s="4">
        <f t="shared" ref="E40:H40" si="5">E36-E38</f>
        <v>75155.22</v>
      </c>
      <c r="F40" s="4">
        <f t="shared" si="5"/>
        <v>111956.53299999998</v>
      </c>
      <c r="G40" s="4">
        <f t="shared" si="5"/>
        <v>139679.10973</v>
      </c>
      <c r="H40" s="4">
        <f t="shared" si="5"/>
        <v>171909.0612997</v>
      </c>
      <c r="J40" s="9" t="s">
        <v>48</v>
      </c>
      <c r="K40" s="9"/>
      <c r="L40" s="9"/>
      <c r="M40" s="9"/>
      <c r="N40" s="9"/>
    </row>
    <row r="41" spans="1:14" x14ac:dyDescent="0.25">
      <c r="A41" s="25" t="s">
        <v>35</v>
      </c>
      <c r="B41" s="25"/>
      <c r="C41" s="25"/>
      <c r="D41" s="25"/>
      <c r="E41" s="25"/>
      <c r="F41" s="25"/>
      <c r="G41" s="25"/>
      <c r="H41" s="25"/>
    </row>
    <row r="42" spans="1:14" x14ac:dyDescent="0.25">
      <c r="A42" s="9"/>
      <c r="B42" s="9"/>
      <c r="C42" s="9"/>
      <c r="D42" s="5">
        <f>D40</f>
        <v>-181487.4</v>
      </c>
      <c r="E42" s="5">
        <f>D42+E40</f>
        <v>-106332.18</v>
      </c>
      <c r="F42" s="5">
        <f t="shared" ref="F42:H42" si="6">E42+F40</f>
        <v>5624.3529999999882</v>
      </c>
      <c r="G42" s="5">
        <f t="shared" si="6"/>
        <v>145303.46272999997</v>
      </c>
      <c r="H42" s="5">
        <f t="shared" si="6"/>
        <v>317212.52402969997</v>
      </c>
    </row>
    <row r="45" spans="1:14" x14ac:dyDescent="0.25">
      <c r="A45" s="8" t="s">
        <v>36</v>
      </c>
      <c r="B45" s="8"/>
      <c r="C45" s="8"/>
      <c r="D45" s="29">
        <f>-D12+(D40/(1+0.05))+(E40/((1+0.05)^2))+(F40/((1+0.05)^3))+(G40/((1+0.05)^4))+(H40/((1+0.05)^5))</f>
        <v>199294.71678243019</v>
      </c>
      <c r="E45" s="29"/>
      <c r="F45" s="29"/>
      <c r="G45" s="29"/>
      <c r="H45" s="29"/>
    </row>
    <row r="46" spans="1:14" x14ac:dyDescent="0.25">
      <c r="A46" s="8" t="s">
        <v>37</v>
      </c>
      <c r="B46" s="8"/>
      <c r="C46" s="8"/>
      <c r="D46" s="30">
        <f>H42</f>
        <v>317212.52402969997</v>
      </c>
      <c r="E46" s="8"/>
      <c r="F46" s="8"/>
      <c r="G46" s="8"/>
      <c r="H46" s="8"/>
    </row>
  </sheetData>
  <mergeCells count="55">
    <mergeCell ref="J40:N40"/>
    <mergeCell ref="A32:C32"/>
    <mergeCell ref="D21:H21"/>
    <mergeCell ref="A22:H22"/>
    <mergeCell ref="A18:C18"/>
    <mergeCell ref="A19:C19"/>
    <mergeCell ref="A20:C20"/>
    <mergeCell ref="A21:C21"/>
    <mergeCell ref="A23:C23"/>
    <mergeCell ref="A24:C24"/>
    <mergeCell ref="A26:H26"/>
    <mergeCell ref="A25:C25"/>
    <mergeCell ref="A27:C27"/>
    <mergeCell ref="J39:N39"/>
    <mergeCell ref="A28:C28"/>
    <mergeCell ref="A29:C29"/>
    <mergeCell ref="A7:C7"/>
    <mergeCell ref="A8:C8"/>
    <mergeCell ref="A9:C9"/>
    <mergeCell ref="A10:C10"/>
    <mergeCell ref="D12:H12"/>
    <mergeCell ref="A11:C11"/>
    <mergeCell ref="A12:C12"/>
    <mergeCell ref="A14:C14"/>
    <mergeCell ref="A16:C16"/>
    <mergeCell ref="A17:C17"/>
    <mergeCell ref="A13:H13"/>
    <mergeCell ref="A15:C15"/>
    <mergeCell ref="A1:C1"/>
    <mergeCell ref="A2:H2"/>
    <mergeCell ref="A3:C3"/>
    <mergeCell ref="A4:C4"/>
    <mergeCell ref="A6:C6"/>
    <mergeCell ref="A5:C5"/>
    <mergeCell ref="A31:C31"/>
    <mergeCell ref="J37:N37"/>
    <mergeCell ref="A30:C30"/>
    <mergeCell ref="J34:N34"/>
    <mergeCell ref="J35:N35"/>
    <mergeCell ref="J36:N36"/>
    <mergeCell ref="J38:N38"/>
    <mergeCell ref="A33:C33"/>
    <mergeCell ref="A34:C34"/>
    <mergeCell ref="A36:C36"/>
    <mergeCell ref="A38:C38"/>
    <mergeCell ref="A39:H39"/>
    <mergeCell ref="A40:C40"/>
    <mergeCell ref="A35:H35"/>
    <mergeCell ref="A37:H37"/>
    <mergeCell ref="A46:C46"/>
    <mergeCell ref="A41:H41"/>
    <mergeCell ref="A42:C42"/>
    <mergeCell ref="A45:C45"/>
    <mergeCell ref="D45:H45"/>
    <mergeCell ref="D46:H4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tabSelected="1" zoomScale="80" zoomScaleNormal="80" workbookViewId="0">
      <selection activeCell="F38" sqref="F38"/>
    </sheetView>
  </sheetViews>
  <sheetFormatPr baseColWidth="10" defaultColWidth="11.42578125" defaultRowHeight="15" x14ac:dyDescent="0.25"/>
  <cols>
    <col min="3" max="3" width="25.42578125" customWidth="1"/>
    <col min="4" max="4" width="13.85546875" bestFit="1" customWidth="1"/>
    <col min="5" max="5" width="13.7109375" bestFit="1" customWidth="1"/>
    <col min="6" max="6" width="13.85546875" customWidth="1"/>
    <col min="7" max="7" width="15.42578125" customWidth="1"/>
    <col min="8" max="8" width="15.7109375" customWidth="1"/>
    <col min="14" max="14" width="49.140625" customWidth="1"/>
    <col min="15" max="15" width="19.140625" customWidth="1"/>
    <col min="16" max="16" width="17" customWidth="1"/>
    <col min="22" max="22" width="11.5703125" customWidth="1"/>
  </cols>
  <sheetData>
    <row r="1" spans="1:8" x14ac:dyDescent="0.25">
      <c r="A1" s="9"/>
      <c r="B1" s="9"/>
      <c r="C1" s="9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25" t="s">
        <v>5</v>
      </c>
      <c r="B2" s="25"/>
      <c r="C2" s="25"/>
      <c r="D2" s="25"/>
      <c r="E2" s="25"/>
      <c r="F2" s="25"/>
      <c r="G2" s="25"/>
      <c r="H2" s="25"/>
    </row>
    <row r="3" spans="1:8" x14ac:dyDescent="0.25">
      <c r="A3" s="9" t="s">
        <v>38</v>
      </c>
      <c r="B3" s="9"/>
      <c r="C3" s="9"/>
      <c r="D3" s="7">
        <v>1000</v>
      </c>
      <c r="E3" s="7">
        <v>0</v>
      </c>
      <c r="F3" s="7">
        <v>0</v>
      </c>
      <c r="G3" s="7">
        <v>0</v>
      </c>
      <c r="H3" s="7">
        <v>0</v>
      </c>
    </row>
    <row r="4" spans="1:8" x14ac:dyDescent="0.25">
      <c r="A4" s="9" t="s">
        <v>6</v>
      </c>
      <c r="B4" s="9"/>
      <c r="C4" s="9"/>
      <c r="D4" s="7">
        <v>3500</v>
      </c>
      <c r="E4" s="7">
        <v>0</v>
      </c>
      <c r="F4" s="7">
        <v>0</v>
      </c>
      <c r="G4" s="7">
        <v>0</v>
      </c>
      <c r="H4" s="7">
        <v>0</v>
      </c>
    </row>
    <row r="5" spans="1:8" x14ac:dyDescent="0.25">
      <c r="A5" s="10" t="s">
        <v>39</v>
      </c>
      <c r="B5" s="11"/>
      <c r="C5" s="12"/>
      <c r="D5" s="7">
        <v>2500</v>
      </c>
      <c r="E5" s="7">
        <v>2500</v>
      </c>
      <c r="F5" s="7">
        <v>2500</v>
      </c>
      <c r="G5" s="7">
        <v>2500</v>
      </c>
      <c r="H5" s="7">
        <v>2500</v>
      </c>
    </row>
    <row r="6" spans="1:8" x14ac:dyDescent="0.25">
      <c r="A6" s="24" t="s">
        <v>7</v>
      </c>
      <c r="B6" s="24"/>
      <c r="C6" s="24"/>
      <c r="D6" s="2">
        <v>750</v>
      </c>
      <c r="E6" s="2">
        <v>100</v>
      </c>
      <c r="F6" s="2">
        <v>100</v>
      </c>
      <c r="G6" s="2">
        <v>100</v>
      </c>
      <c r="H6" s="2">
        <v>100</v>
      </c>
    </row>
    <row r="7" spans="1:8" x14ac:dyDescent="0.25">
      <c r="A7" s="24" t="s">
        <v>8</v>
      </c>
      <c r="B7" s="24"/>
      <c r="C7" s="24"/>
      <c r="D7" s="2">
        <v>4000</v>
      </c>
      <c r="E7" s="2">
        <v>0</v>
      </c>
      <c r="F7" s="2">
        <v>0</v>
      </c>
      <c r="G7" s="2">
        <v>0</v>
      </c>
      <c r="H7" s="2">
        <v>0</v>
      </c>
    </row>
    <row r="8" spans="1:8" x14ac:dyDescent="0.25">
      <c r="A8" s="24" t="s">
        <v>9</v>
      </c>
      <c r="B8" s="24"/>
      <c r="C8" s="24"/>
      <c r="D8" s="2">
        <v>3500</v>
      </c>
      <c r="E8" s="2">
        <v>0</v>
      </c>
      <c r="F8" s="2">
        <v>0</v>
      </c>
      <c r="G8" s="2">
        <v>0</v>
      </c>
      <c r="H8" s="2">
        <v>0</v>
      </c>
    </row>
    <row r="9" spans="1:8" x14ac:dyDescent="0.25">
      <c r="A9" s="21" t="s">
        <v>10</v>
      </c>
      <c r="B9" s="22"/>
      <c r="C9" s="23"/>
      <c r="D9" s="2">
        <v>25000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5">
      <c r="A10" s="21" t="s">
        <v>11</v>
      </c>
      <c r="B10" s="22"/>
      <c r="C10" s="23"/>
      <c r="D10" s="2">
        <v>4200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25">
      <c r="A11" s="26" t="s">
        <v>12</v>
      </c>
      <c r="B11" s="27"/>
      <c r="C11" s="28"/>
      <c r="D11" s="3">
        <f>+D3+D4+D6+D7+D8+D9+D10</f>
        <v>41950</v>
      </c>
      <c r="E11" s="3">
        <f t="shared" ref="E11:H11" si="0">+E3+E4+E6+E7+E8+E9+E10</f>
        <v>100</v>
      </c>
      <c r="F11" s="3">
        <f t="shared" si="0"/>
        <v>100</v>
      </c>
      <c r="G11" s="3">
        <f t="shared" si="0"/>
        <v>100</v>
      </c>
      <c r="H11" s="3">
        <f t="shared" si="0"/>
        <v>100</v>
      </c>
    </row>
    <row r="12" spans="1:8" x14ac:dyDescent="0.25">
      <c r="A12" s="18" t="s">
        <v>13</v>
      </c>
      <c r="B12" s="19"/>
      <c r="C12" s="20"/>
      <c r="D12" s="16">
        <f>D11+E11+F11+G11+H11</f>
        <v>42350</v>
      </c>
      <c r="E12" s="16"/>
      <c r="F12" s="16"/>
      <c r="G12" s="16"/>
      <c r="H12" s="16"/>
    </row>
    <row r="13" spans="1:8" x14ac:dyDescent="0.25">
      <c r="A13" s="17" t="s">
        <v>14</v>
      </c>
      <c r="B13" s="17"/>
      <c r="C13" s="17"/>
      <c r="D13" s="17"/>
      <c r="E13" s="17"/>
      <c r="F13" s="17"/>
      <c r="G13" s="17"/>
      <c r="H13" s="17"/>
    </row>
    <row r="14" spans="1:8" x14ac:dyDescent="0.25">
      <c r="A14" s="9" t="s">
        <v>38</v>
      </c>
      <c r="B14" s="9"/>
      <c r="C14" s="9"/>
      <c r="D14" s="2">
        <f>D3/5</f>
        <v>200</v>
      </c>
      <c r="E14" s="2">
        <f>D3/5</f>
        <v>200</v>
      </c>
      <c r="F14" s="2">
        <f>D3/5</f>
        <v>200</v>
      </c>
      <c r="G14" s="2">
        <f>D3/5</f>
        <v>200</v>
      </c>
      <c r="H14" s="2">
        <f>D3/5</f>
        <v>200</v>
      </c>
    </row>
    <row r="15" spans="1:8" x14ac:dyDescent="0.25">
      <c r="A15" s="9" t="s">
        <v>6</v>
      </c>
      <c r="B15" s="9"/>
      <c r="C15" s="9"/>
      <c r="D15" s="2">
        <f>D4/5</f>
        <v>700</v>
      </c>
      <c r="E15" s="2">
        <f>D4/5</f>
        <v>700</v>
      </c>
      <c r="F15" s="2">
        <f>D4/5</f>
        <v>700</v>
      </c>
      <c r="G15" s="2">
        <f>D4/5</f>
        <v>700</v>
      </c>
      <c r="H15" s="2">
        <f>D4/5</f>
        <v>700</v>
      </c>
    </row>
    <row r="16" spans="1:8" x14ac:dyDescent="0.25">
      <c r="A16" s="24" t="s">
        <v>8</v>
      </c>
      <c r="B16" s="24"/>
      <c r="C16" s="24"/>
      <c r="D16" s="2">
        <f>D7/5</f>
        <v>800</v>
      </c>
      <c r="E16" s="2">
        <f>D7/5</f>
        <v>800</v>
      </c>
      <c r="F16" s="2">
        <f>D7/5</f>
        <v>800</v>
      </c>
      <c r="G16" s="2">
        <f>D7/5</f>
        <v>800</v>
      </c>
      <c r="H16" s="2">
        <f>D7/5</f>
        <v>800</v>
      </c>
    </row>
    <row r="17" spans="1:8" x14ac:dyDescent="0.25">
      <c r="A17" s="24" t="s">
        <v>15</v>
      </c>
      <c r="B17" s="24"/>
      <c r="C17" s="24"/>
      <c r="D17" s="2">
        <f>D8/5</f>
        <v>700</v>
      </c>
      <c r="E17" s="2">
        <f>D8/5</f>
        <v>700</v>
      </c>
      <c r="F17" s="2">
        <f>D8/5</f>
        <v>700</v>
      </c>
      <c r="G17" s="2">
        <f>D8/5</f>
        <v>700</v>
      </c>
      <c r="H17" s="2">
        <f>D8/5</f>
        <v>700</v>
      </c>
    </row>
    <row r="18" spans="1:8" x14ac:dyDescent="0.25">
      <c r="A18" s="21" t="s">
        <v>10</v>
      </c>
      <c r="B18" s="22"/>
      <c r="C18" s="23"/>
      <c r="D18" s="2">
        <f>D9/5</f>
        <v>5000</v>
      </c>
      <c r="E18" s="2">
        <f>D9/5</f>
        <v>5000</v>
      </c>
      <c r="F18" s="2">
        <f>D9/5</f>
        <v>5000</v>
      </c>
      <c r="G18" s="2">
        <f>D9/5</f>
        <v>5000</v>
      </c>
      <c r="H18" s="2">
        <f>D9/5</f>
        <v>5000</v>
      </c>
    </row>
    <row r="19" spans="1:8" x14ac:dyDescent="0.25">
      <c r="A19" s="21" t="s">
        <v>11</v>
      </c>
      <c r="B19" s="22"/>
      <c r="C19" s="23"/>
      <c r="D19" s="2">
        <f>D10/5</f>
        <v>840</v>
      </c>
      <c r="E19" s="2">
        <f>D10/5</f>
        <v>840</v>
      </c>
      <c r="F19" s="2">
        <f>D10/5</f>
        <v>840</v>
      </c>
      <c r="G19" s="2">
        <f>D10/5</f>
        <v>840</v>
      </c>
      <c r="H19" s="2">
        <f>D10/5</f>
        <v>840</v>
      </c>
    </row>
    <row r="20" spans="1:8" x14ac:dyDescent="0.25">
      <c r="A20" s="26" t="s">
        <v>16</v>
      </c>
      <c r="B20" s="27"/>
      <c r="C20" s="28"/>
      <c r="D20" s="3">
        <f>D14+D15+D17+D18+D19+D16</f>
        <v>8240</v>
      </c>
      <c r="E20" s="3">
        <f t="shared" ref="E20:H20" si="1">E14+E15+E17+E18+E19+E16</f>
        <v>8240</v>
      </c>
      <c r="F20" s="3">
        <f t="shared" si="1"/>
        <v>8240</v>
      </c>
      <c r="G20" s="3">
        <f t="shared" si="1"/>
        <v>8240</v>
      </c>
      <c r="H20" s="3">
        <f t="shared" si="1"/>
        <v>8240</v>
      </c>
    </row>
    <row r="21" spans="1:8" x14ac:dyDescent="0.25">
      <c r="A21" s="18" t="s">
        <v>17</v>
      </c>
      <c r="B21" s="19"/>
      <c r="C21" s="20"/>
      <c r="D21" s="16">
        <f>D20+E20+F20+G20+H20</f>
        <v>41200</v>
      </c>
      <c r="E21" s="16"/>
      <c r="F21" s="16"/>
      <c r="G21" s="16"/>
      <c r="H21" s="16"/>
    </row>
    <row r="22" spans="1:8" x14ac:dyDescent="0.25">
      <c r="A22" s="17" t="s">
        <v>18</v>
      </c>
      <c r="B22" s="17"/>
      <c r="C22" s="17"/>
      <c r="D22" s="17"/>
      <c r="E22" s="17"/>
      <c r="F22" s="17"/>
      <c r="G22" s="17"/>
      <c r="H22" s="17"/>
    </row>
    <row r="23" spans="1:8" x14ac:dyDescent="0.25">
      <c r="A23" s="9" t="s">
        <v>40</v>
      </c>
      <c r="B23" s="9"/>
      <c r="C23" s="9"/>
      <c r="D23" s="6"/>
      <c r="E23" s="6">
        <v>55000</v>
      </c>
      <c r="F23" s="6">
        <v>75000</v>
      </c>
      <c r="G23" s="6">
        <v>70000</v>
      </c>
      <c r="H23" s="6">
        <v>106500</v>
      </c>
    </row>
    <row r="24" spans="1:8" x14ac:dyDescent="0.25">
      <c r="A24" s="9" t="s">
        <v>41</v>
      </c>
      <c r="B24" s="9"/>
      <c r="C24" s="9"/>
      <c r="D24" s="4">
        <v>10000</v>
      </c>
      <c r="E24" s="4">
        <v>95000</v>
      </c>
      <c r="F24" s="4">
        <v>95000</v>
      </c>
      <c r="G24" s="4">
        <v>105000</v>
      </c>
      <c r="H24" s="4">
        <v>115000</v>
      </c>
    </row>
    <row r="25" spans="1:8" x14ac:dyDescent="0.25">
      <c r="A25" s="8" t="s">
        <v>19</v>
      </c>
      <c r="B25" s="8"/>
      <c r="C25" s="8"/>
      <c r="D25" s="5">
        <f>D24+D23</f>
        <v>10000</v>
      </c>
      <c r="E25" s="5">
        <f t="shared" ref="E25:H25" si="2">E24+E23</f>
        <v>150000</v>
      </c>
      <c r="F25" s="5">
        <f t="shared" si="2"/>
        <v>170000</v>
      </c>
      <c r="G25" s="5">
        <f t="shared" si="2"/>
        <v>175000</v>
      </c>
      <c r="H25" s="5">
        <f t="shared" si="2"/>
        <v>221500</v>
      </c>
    </row>
    <row r="26" spans="1:8" x14ac:dyDescent="0.25">
      <c r="A26" s="17" t="s">
        <v>20</v>
      </c>
      <c r="B26" s="17"/>
      <c r="C26" s="17"/>
      <c r="D26" s="17"/>
      <c r="E26" s="17"/>
      <c r="F26" s="17"/>
      <c r="G26" s="17"/>
      <c r="H26" s="17"/>
    </row>
    <row r="27" spans="1:8" x14ac:dyDescent="0.25">
      <c r="A27" s="9" t="s">
        <v>21</v>
      </c>
      <c r="B27" s="9"/>
      <c r="C27" s="9"/>
      <c r="D27" s="2">
        <v>124984.5</v>
      </c>
      <c r="E27" s="2">
        <f>D27+(D27*0.05)</f>
        <v>131233.72500000001</v>
      </c>
      <c r="F27" s="2">
        <f>E27+(E27*0.05)</f>
        <v>137795.41125</v>
      </c>
      <c r="G27" s="2">
        <f>F27+(F27*0.05)</f>
        <v>144685.1818125</v>
      </c>
      <c r="H27" s="2">
        <f>G27+(G27*0.05)</f>
        <v>151919.44090312501</v>
      </c>
    </row>
    <row r="28" spans="1:8" x14ac:dyDescent="0.25">
      <c r="A28" s="9" t="s">
        <v>22</v>
      </c>
      <c r="B28" s="9"/>
      <c r="C28" s="9"/>
      <c r="D28" s="2">
        <v>3600</v>
      </c>
      <c r="E28" s="2">
        <f>D28+(D28*0.04)</f>
        <v>3744</v>
      </c>
      <c r="F28" s="2">
        <f>E28+(E28*0.04)</f>
        <v>3893.76</v>
      </c>
      <c r="G28" s="2">
        <f>F28+(F28*0.04)</f>
        <v>4049.5104000000001</v>
      </c>
      <c r="H28" s="2">
        <f>G28+(G28*0.04)</f>
        <v>4211.4908160000005</v>
      </c>
    </row>
    <row r="29" spans="1:8" x14ac:dyDescent="0.25">
      <c r="A29" s="9" t="s">
        <v>23</v>
      </c>
      <c r="B29" s="9"/>
      <c r="C29" s="9"/>
      <c r="D29" s="2">
        <v>5000</v>
      </c>
      <c r="E29" s="2">
        <f>(D29*0.95)</f>
        <v>4750</v>
      </c>
      <c r="F29" s="2">
        <f t="shared" ref="F29:H29" si="3">(E29*0.95)</f>
        <v>4512.5</v>
      </c>
      <c r="G29" s="2">
        <f t="shared" si="3"/>
        <v>4286.875</v>
      </c>
      <c r="H29" s="2">
        <f t="shared" si="3"/>
        <v>4072.53125</v>
      </c>
    </row>
    <row r="30" spans="1:8" x14ac:dyDescent="0.25">
      <c r="A30" s="9" t="s">
        <v>24</v>
      </c>
      <c r="B30" s="9"/>
      <c r="C30" s="9"/>
      <c r="D30" s="2">
        <v>465</v>
      </c>
      <c r="E30" s="2">
        <f>D30+(D30*0.05)</f>
        <v>488.25</v>
      </c>
      <c r="F30" s="2">
        <f t="shared" ref="F30:H30" si="4">E30+(E30*0.05)</f>
        <v>512.66250000000002</v>
      </c>
      <c r="G30" s="2">
        <f t="shared" si="4"/>
        <v>538.29562499999997</v>
      </c>
      <c r="H30" s="2">
        <f t="shared" si="4"/>
        <v>565.21040625000001</v>
      </c>
    </row>
    <row r="31" spans="1:8" x14ac:dyDescent="0.25">
      <c r="A31" s="9" t="s">
        <v>26</v>
      </c>
      <c r="B31" s="9"/>
      <c r="C31" s="9"/>
      <c r="D31" s="2">
        <f>D20</f>
        <v>8240</v>
      </c>
      <c r="E31" s="2">
        <f>E20</f>
        <v>8240</v>
      </c>
      <c r="F31" s="2">
        <f>F20</f>
        <v>8240</v>
      </c>
      <c r="G31" s="2">
        <f>G20</f>
        <v>8240</v>
      </c>
      <c r="H31" s="2">
        <f>H20</f>
        <v>8240</v>
      </c>
    </row>
    <row r="32" spans="1:8" x14ac:dyDescent="0.25">
      <c r="A32" s="10" t="s">
        <v>40</v>
      </c>
      <c r="B32" s="11"/>
      <c r="C32" s="12"/>
      <c r="D32" s="2"/>
      <c r="E32" s="2">
        <v>4000</v>
      </c>
      <c r="F32" s="2">
        <v>15000</v>
      </c>
      <c r="G32" s="2">
        <v>20000</v>
      </c>
      <c r="H32" s="2">
        <v>25000</v>
      </c>
    </row>
    <row r="33" spans="1:14" x14ac:dyDescent="0.25">
      <c r="A33" s="9" t="s">
        <v>30</v>
      </c>
      <c r="B33" s="9"/>
      <c r="C33" s="9"/>
      <c r="D33" s="2">
        <v>2000</v>
      </c>
      <c r="E33" s="2">
        <v>2000</v>
      </c>
      <c r="F33" s="2">
        <v>2000</v>
      </c>
      <c r="G33" s="2">
        <v>2000</v>
      </c>
      <c r="H33" s="2">
        <v>2000</v>
      </c>
    </row>
    <row r="34" spans="1:14" x14ac:dyDescent="0.25">
      <c r="A34" s="8" t="s">
        <v>31</v>
      </c>
      <c r="B34" s="8"/>
      <c r="C34" s="8"/>
      <c r="D34" s="3">
        <f>D27+D28+D29+D30+D31+D32+D33</f>
        <v>144289.5</v>
      </c>
      <c r="E34" s="3">
        <f t="shared" ref="E34:H34" si="5">E27+E28+E29+E30+E31+E32+E33</f>
        <v>154455.97500000001</v>
      </c>
      <c r="F34" s="3">
        <f t="shared" si="5"/>
        <v>171954.33375000002</v>
      </c>
      <c r="G34" s="3">
        <f t="shared" si="5"/>
        <v>183799.8628375</v>
      </c>
      <c r="H34" s="3">
        <f t="shared" si="5"/>
        <v>196008.67337537502</v>
      </c>
      <c r="J34" s="13" t="s">
        <v>25</v>
      </c>
      <c r="K34" s="14"/>
      <c r="L34" s="14"/>
      <c r="M34" s="14"/>
      <c r="N34" s="15"/>
    </row>
    <row r="35" spans="1:14" x14ac:dyDescent="0.25">
      <c r="A35" s="17" t="s">
        <v>32</v>
      </c>
      <c r="B35" s="17"/>
      <c r="C35" s="17"/>
      <c r="D35" s="17"/>
      <c r="E35" s="17"/>
      <c r="F35" s="17"/>
      <c r="G35" s="17"/>
      <c r="H35" s="17"/>
      <c r="J35" s="10" t="s">
        <v>27</v>
      </c>
      <c r="K35" s="11"/>
      <c r="L35" s="11"/>
      <c r="M35" s="11"/>
      <c r="N35" s="12"/>
    </row>
    <row r="36" spans="1:14" x14ac:dyDescent="0.25">
      <c r="A36" s="9"/>
      <c r="B36" s="9"/>
      <c r="C36" s="9"/>
      <c r="D36" s="4">
        <f>D25-D34-D11</f>
        <v>-176239.5</v>
      </c>
      <c r="E36" s="4">
        <f>E25-E34-E11</f>
        <v>-4555.9750000000058</v>
      </c>
      <c r="F36" s="4">
        <f>F25-F34-F11</f>
        <v>-2054.3337500000198</v>
      </c>
      <c r="G36" s="4">
        <f>G25-G34-G11</f>
        <v>-8899.8628374999971</v>
      </c>
      <c r="H36" s="4">
        <f>H25-H34-H11</f>
        <v>25391.326624624984</v>
      </c>
      <c r="J36" s="10" t="s">
        <v>28</v>
      </c>
      <c r="K36" s="11"/>
      <c r="L36" s="11"/>
      <c r="M36" s="11"/>
      <c r="N36" s="12"/>
    </row>
    <row r="37" spans="1:14" x14ac:dyDescent="0.25">
      <c r="A37" s="25" t="s">
        <v>33</v>
      </c>
      <c r="B37" s="25"/>
      <c r="C37" s="25"/>
      <c r="D37" s="25"/>
      <c r="E37" s="25"/>
      <c r="F37" s="25"/>
      <c r="G37" s="25"/>
      <c r="H37" s="25"/>
      <c r="J37" s="10" t="s">
        <v>29</v>
      </c>
      <c r="K37" s="11"/>
      <c r="L37" s="11"/>
      <c r="M37" s="11"/>
      <c r="N37" s="12"/>
    </row>
    <row r="38" spans="1:14" x14ac:dyDescent="0.25">
      <c r="A38" s="9"/>
      <c r="B38" s="9"/>
      <c r="C38" s="9"/>
      <c r="D38" s="4">
        <f>(D36*0.2)*(-1)</f>
        <v>35247.9</v>
      </c>
      <c r="E38" s="4">
        <f>E36*0.2*(-1)</f>
        <v>911.19500000000119</v>
      </c>
      <c r="F38" s="4">
        <f>F36*0.2*(-1)</f>
        <v>410.866750000004</v>
      </c>
      <c r="G38" s="4">
        <f>G36*0.2*(-1)</f>
        <v>1779.9725674999995</v>
      </c>
      <c r="H38" s="4">
        <f>H36*0.2*(-1)</f>
        <v>-5078.265324924997</v>
      </c>
      <c r="J38" s="10" t="s">
        <v>45</v>
      </c>
      <c r="K38" s="11"/>
      <c r="L38" s="11"/>
      <c r="M38" s="11"/>
      <c r="N38" s="12"/>
    </row>
    <row r="39" spans="1:14" x14ac:dyDescent="0.25">
      <c r="A39" s="25" t="s">
        <v>34</v>
      </c>
      <c r="B39" s="25"/>
      <c r="C39" s="25"/>
      <c r="D39" s="25"/>
      <c r="E39" s="25"/>
      <c r="F39" s="25"/>
      <c r="G39" s="25"/>
      <c r="H39" s="25"/>
      <c r="J39" s="10" t="s">
        <v>42</v>
      </c>
      <c r="K39" s="11"/>
      <c r="L39" s="11"/>
      <c r="M39" s="11"/>
      <c r="N39" s="12"/>
    </row>
    <row r="40" spans="1:14" x14ac:dyDescent="0.25">
      <c r="A40" s="9"/>
      <c r="B40" s="9"/>
      <c r="C40" s="9"/>
      <c r="D40" s="4">
        <f>D36-D38</f>
        <v>-211487.4</v>
      </c>
      <c r="E40" s="4">
        <f t="shared" ref="E40:H40" si="6">E36-E38</f>
        <v>-5467.1700000000073</v>
      </c>
      <c r="F40" s="4">
        <f>F36-F38</f>
        <v>-2465.2005000000236</v>
      </c>
      <c r="G40" s="4">
        <f t="shared" si="6"/>
        <v>-10679.835404999996</v>
      </c>
      <c r="H40" s="4">
        <f t="shared" si="6"/>
        <v>30469.59194954998</v>
      </c>
      <c r="J40" s="9" t="s">
        <v>47</v>
      </c>
      <c r="K40" s="9"/>
      <c r="L40" s="9"/>
      <c r="M40" s="9"/>
      <c r="N40" s="9"/>
    </row>
    <row r="41" spans="1:14" x14ac:dyDescent="0.25">
      <c r="A41" s="25" t="s">
        <v>35</v>
      </c>
      <c r="B41" s="25"/>
      <c r="C41" s="25"/>
      <c r="D41" s="25"/>
      <c r="E41" s="25"/>
      <c r="F41" s="25"/>
      <c r="G41" s="25"/>
      <c r="H41" s="25"/>
    </row>
    <row r="42" spans="1:14" x14ac:dyDescent="0.25">
      <c r="A42" s="9"/>
      <c r="B42" s="9"/>
      <c r="C42" s="9"/>
      <c r="D42" s="5">
        <f>D40</f>
        <v>-211487.4</v>
      </c>
      <c r="E42" s="5">
        <f>D42+E40</f>
        <v>-216954.57</v>
      </c>
      <c r="F42" s="5">
        <f>E42+F40</f>
        <v>-219419.77050000004</v>
      </c>
      <c r="G42" s="5">
        <f t="shared" ref="G42:H42" si="7">F42+G40</f>
        <v>-230099.60590500003</v>
      </c>
      <c r="H42" s="5">
        <f t="shared" si="7"/>
        <v>-199630.01395545006</v>
      </c>
    </row>
    <row r="45" spans="1:14" x14ac:dyDescent="0.25">
      <c r="A45" s="8" t="s">
        <v>36</v>
      </c>
      <c r="B45" s="8"/>
      <c r="C45" s="8"/>
      <c r="D45" s="29">
        <f>-D12+(D40/(1+0.05))+(E40/((1+0.05)^2))+(F40/((1+0.05)^3))+(G40/((1+0.05)^4))+(H40/((1+0.05)^5))</f>
        <v>-235767.59310610587</v>
      </c>
      <c r="E45" s="29"/>
      <c r="F45" s="29"/>
      <c r="G45" s="29"/>
      <c r="H45" s="29"/>
    </row>
    <row r="46" spans="1:14" x14ac:dyDescent="0.25">
      <c r="A46" s="8" t="s">
        <v>37</v>
      </c>
      <c r="B46" s="8"/>
      <c r="C46" s="8"/>
      <c r="D46" s="30">
        <f>H42</f>
        <v>-199630.01395545006</v>
      </c>
      <c r="E46" s="8"/>
      <c r="F46" s="8"/>
      <c r="G46" s="8"/>
      <c r="H46" s="8"/>
    </row>
  </sheetData>
  <mergeCells count="55">
    <mergeCell ref="A32:C32"/>
    <mergeCell ref="A33:C33"/>
    <mergeCell ref="A34:C34"/>
    <mergeCell ref="J38:N38"/>
    <mergeCell ref="A35:H35"/>
    <mergeCell ref="A36:C36"/>
    <mergeCell ref="A38:C38"/>
    <mergeCell ref="A37:H37"/>
    <mergeCell ref="A46:C46"/>
    <mergeCell ref="D46:H46"/>
    <mergeCell ref="J34:N34"/>
    <mergeCell ref="J35:N35"/>
    <mergeCell ref="J36:N36"/>
    <mergeCell ref="J37:N37"/>
    <mergeCell ref="A40:C40"/>
    <mergeCell ref="A45:C45"/>
    <mergeCell ref="A41:H41"/>
    <mergeCell ref="A42:C42"/>
    <mergeCell ref="D45:H45"/>
    <mergeCell ref="J40:N40"/>
    <mergeCell ref="A31:C31"/>
    <mergeCell ref="A24:C24"/>
    <mergeCell ref="A25:C25"/>
    <mergeCell ref="A30:C30"/>
    <mergeCell ref="D12:H12"/>
    <mergeCell ref="A13:H13"/>
    <mergeCell ref="A16:C16"/>
    <mergeCell ref="D21:H21"/>
    <mergeCell ref="A22:H22"/>
    <mergeCell ref="A27:C27"/>
    <mergeCell ref="A17:C17"/>
    <mergeCell ref="A26:H26"/>
    <mergeCell ref="A23:C23"/>
    <mergeCell ref="A28:C28"/>
    <mergeCell ref="A1:C1"/>
    <mergeCell ref="A2:H2"/>
    <mergeCell ref="A3:C3"/>
    <mergeCell ref="A4:C4"/>
    <mergeCell ref="A5:C5"/>
    <mergeCell ref="A6:C6"/>
    <mergeCell ref="A7:C7"/>
    <mergeCell ref="A8:C8"/>
    <mergeCell ref="A9:C9"/>
    <mergeCell ref="J39:N39"/>
    <mergeCell ref="A39:H39"/>
    <mergeCell ref="A10:C10"/>
    <mergeCell ref="A11:C11"/>
    <mergeCell ref="A12:C12"/>
    <mergeCell ref="A14:C14"/>
    <mergeCell ref="A29:C29"/>
    <mergeCell ref="A15:C15"/>
    <mergeCell ref="A19:C19"/>
    <mergeCell ref="A20:C20"/>
    <mergeCell ref="A21:C21"/>
    <mergeCell ref="A18:C1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Viabilidad_Optimista</vt:lpstr>
      <vt:lpstr>Viabilidad_Conservadora</vt:lpstr>
      <vt:lpstr>Viabilidad_Pesimista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Jiménez Alonso</dc:creator>
  <cp:keywords/>
  <dc:description/>
  <cp:lastModifiedBy>Javier</cp:lastModifiedBy>
  <cp:revision/>
  <dcterms:created xsi:type="dcterms:W3CDTF">2018-03-15T16:26:00Z</dcterms:created>
  <dcterms:modified xsi:type="dcterms:W3CDTF">2020-03-18T12:38:39Z</dcterms:modified>
  <cp:category/>
  <cp:contentStatus/>
</cp:coreProperties>
</file>