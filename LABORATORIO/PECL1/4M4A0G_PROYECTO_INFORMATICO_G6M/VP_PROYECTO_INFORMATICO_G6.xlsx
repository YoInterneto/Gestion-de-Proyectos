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GitHub\Gestion-de-Proyectos\LABORATORIO\PECL1\4M4A0G_PROYECTO_INFORMATICO_G6\"/>
    </mc:Choice>
  </mc:AlternateContent>
  <xr:revisionPtr revIDLastSave="0" documentId="13_ncr:1_{A883A965-EB7A-4DDC-B42A-AC6EB57CCD1A}" xr6:coauthVersionLast="44" xr6:coauthVersionMax="44" xr10:uidLastSave="{00000000-0000-0000-0000-000000000000}"/>
  <bookViews>
    <workbookView xWindow="-120" yWindow="-120" windowWidth="29040" windowHeight="15840" xr2:uid="{3EAC4CDE-D374-488D-8C8A-A6FF80133821}"/>
  </bookViews>
  <sheets>
    <sheet name="INVERSIONES" sheetId="1" r:id="rId1"/>
    <sheet name="EVOLUCION INVERSIONES" sheetId="2" r:id="rId2"/>
    <sheet name="INGRESOS" sheetId="4" r:id="rId3"/>
    <sheet name="EVOLUCION INGRESOS" sheetId="5" r:id="rId4"/>
    <sheet name="AMORTIZACIONES" sheetId="6" r:id="rId5"/>
    <sheet name="EVOLUCIÓN AMORTIZACIONES" sheetId="7" r:id="rId6"/>
    <sheet name="COSTES VARIABLES" sheetId="8" r:id="rId7"/>
    <sheet name="EVOLUCIÓN COSTES VARIABLES" sheetId="9" r:id="rId8"/>
    <sheet name="COSTES FIJOS" sheetId="10" r:id="rId9"/>
    <sheet name="EVOLUCIÓN COSTES FIJOS" sheetId="11" r:id="rId10"/>
    <sheet name="BENEFICIOS" sheetId="12" r:id="rId11"/>
    <sheet name="EVOLUCIÓN BNA" sheetId="13" r:id="rId12"/>
    <sheet name="CÁLCULO INDICADORE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8" l="1"/>
  <c r="F20" i="12" s="1"/>
  <c r="F23" i="14"/>
  <c r="E23" i="14"/>
  <c r="G21" i="14"/>
  <c r="I8" i="14"/>
  <c r="G8" i="14"/>
  <c r="C8" i="14"/>
  <c r="I7" i="14"/>
  <c r="G7" i="14"/>
  <c r="C7" i="14"/>
  <c r="I6" i="14"/>
  <c r="G6" i="14"/>
  <c r="C6" i="14"/>
  <c r="J20" i="12"/>
  <c r="I20" i="12"/>
  <c r="H20" i="12"/>
  <c r="G20" i="12"/>
  <c r="J19" i="12"/>
  <c r="I19" i="12"/>
  <c r="H19" i="12"/>
  <c r="G19" i="12"/>
  <c r="F19" i="12"/>
  <c r="J18" i="12"/>
  <c r="I18" i="12"/>
  <c r="H18" i="12"/>
  <c r="G18" i="12"/>
  <c r="F18" i="12"/>
  <c r="J12" i="12"/>
  <c r="I12" i="12"/>
  <c r="H12" i="12"/>
  <c r="G12" i="12"/>
  <c r="F12" i="12"/>
  <c r="J11" i="12"/>
  <c r="I11" i="12"/>
  <c r="H11" i="12"/>
  <c r="G11" i="12"/>
  <c r="F11" i="12"/>
  <c r="J10" i="12"/>
  <c r="I10" i="12"/>
  <c r="H10" i="12"/>
  <c r="G10" i="12"/>
  <c r="F10" i="12"/>
  <c r="D9" i="6"/>
  <c r="G14" i="6"/>
  <c r="F14" i="6"/>
  <c r="E14" i="6"/>
  <c r="D14" i="6"/>
  <c r="C14" i="6"/>
  <c r="G13" i="6"/>
  <c r="F13" i="6"/>
  <c r="E13" i="6"/>
  <c r="D13" i="6"/>
  <c r="C13" i="6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9" i="6"/>
  <c r="F9" i="6"/>
  <c r="E9" i="6"/>
  <c r="C9" i="6"/>
  <c r="G8" i="6"/>
  <c r="F8" i="6"/>
  <c r="E8" i="6"/>
  <c r="D8" i="6"/>
  <c r="C8" i="6"/>
  <c r="G7" i="6"/>
  <c r="F7" i="6"/>
  <c r="E7" i="6"/>
  <c r="D7" i="6"/>
  <c r="C7" i="6"/>
  <c r="I24" i="4"/>
  <c r="I23" i="4"/>
  <c r="I25" i="4" s="1"/>
  <c r="E34" i="4" s="1"/>
  <c r="I20" i="4"/>
  <c r="I19" i="4"/>
  <c r="I18" i="4"/>
  <c r="I17" i="4"/>
  <c r="I21" i="4" s="1"/>
  <c r="E33" i="4" s="1"/>
  <c r="F33" i="4" s="1"/>
  <c r="G33" i="4" s="1"/>
  <c r="H33" i="4" s="1"/>
  <c r="I33" i="4" s="1"/>
  <c r="H7" i="8" s="1"/>
  <c r="I14" i="4"/>
  <c r="I13" i="4"/>
  <c r="I12" i="4"/>
  <c r="I11" i="4"/>
  <c r="I15" i="4" s="1"/>
  <c r="E32" i="4" s="1"/>
  <c r="D6" i="8" s="1"/>
  <c r="I8" i="4"/>
  <c r="I7" i="4"/>
  <c r="I6" i="4"/>
  <c r="I9" i="4" s="1"/>
  <c r="E31" i="4" s="1"/>
  <c r="E15" i="6" l="1"/>
  <c r="G13" i="10" s="1"/>
  <c r="F34" i="4"/>
  <c r="D8" i="8"/>
  <c r="D7" i="8"/>
  <c r="F7" i="8"/>
  <c r="E7" i="8"/>
  <c r="G7" i="8"/>
  <c r="F15" i="6"/>
  <c r="H13" i="10" s="1"/>
  <c r="G15" i="6"/>
  <c r="I13" i="10" s="1"/>
  <c r="C15" i="6"/>
  <c r="E13" i="10" s="1"/>
  <c r="D15" i="6"/>
  <c r="F13" i="10" s="1"/>
  <c r="F32" i="4"/>
  <c r="E6" i="8" s="1"/>
  <c r="E40" i="4"/>
  <c r="F31" i="4"/>
  <c r="E5" i="8" s="1"/>
  <c r="E39" i="4"/>
  <c r="E41" i="4"/>
  <c r="I26" i="4"/>
  <c r="I15" i="12" l="1"/>
  <c r="H14" i="10"/>
  <c r="I14" i="12" s="1"/>
  <c r="J15" i="12"/>
  <c r="I14" i="10"/>
  <c r="J14" i="12" s="1"/>
  <c r="G14" i="10"/>
  <c r="H14" i="12" s="1"/>
  <c r="H15" i="12"/>
  <c r="F14" i="10"/>
  <c r="G14" i="12" s="1"/>
  <c r="G15" i="12"/>
  <c r="E14" i="10"/>
  <c r="F14" i="12" s="1"/>
  <c r="F15" i="12"/>
  <c r="G34" i="4"/>
  <c r="E8" i="8"/>
  <c r="F40" i="4"/>
  <c r="G32" i="4"/>
  <c r="F6" i="8" s="1"/>
  <c r="G31" i="4"/>
  <c r="F5" i="8" s="1"/>
  <c r="F41" i="4"/>
  <c r="F39" i="4"/>
  <c r="E24" i="14" l="1"/>
  <c r="F24" i="14" s="1"/>
  <c r="I25" i="12"/>
  <c r="I23" i="12"/>
  <c r="I24" i="12"/>
  <c r="F25" i="12"/>
  <c r="F24" i="12"/>
  <c r="F23" i="12"/>
  <c r="G23" i="12"/>
  <c r="G24" i="12"/>
  <c r="G25" i="12"/>
  <c r="H24" i="12"/>
  <c r="H25" i="12"/>
  <c r="H23" i="12"/>
  <c r="J23" i="12"/>
  <c r="J24" i="12"/>
  <c r="J25" i="12"/>
  <c r="H34" i="4"/>
  <c r="F8" i="8"/>
  <c r="H31" i="4"/>
  <c r="G5" i="8" s="1"/>
  <c r="G39" i="4"/>
  <c r="G41" i="4"/>
  <c r="G40" i="4"/>
  <c r="H32" i="4"/>
  <c r="G6" i="8" s="1"/>
  <c r="H29" i="12" l="1"/>
  <c r="H34" i="12" s="1"/>
  <c r="H7" i="14" s="1"/>
  <c r="I28" i="12"/>
  <c r="I33" i="12"/>
  <c r="J6" i="14" s="1"/>
  <c r="G30" i="12"/>
  <c r="G35" i="12"/>
  <c r="F8" i="14" s="1"/>
  <c r="I30" i="12"/>
  <c r="I35" i="12" s="1"/>
  <c r="J8" i="14" s="1"/>
  <c r="G29" i="12"/>
  <c r="G34" i="12" s="1"/>
  <c r="F7" i="14" s="1"/>
  <c r="J30" i="12"/>
  <c r="J35" i="12" s="1"/>
  <c r="L8" i="14" s="1"/>
  <c r="G28" i="12"/>
  <c r="G33" i="12"/>
  <c r="F6" i="14" s="1"/>
  <c r="J29" i="12"/>
  <c r="J34" i="12"/>
  <c r="L7" i="14" s="1"/>
  <c r="F28" i="12"/>
  <c r="F33" i="12" s="1"/>
  <c r="J28" i="12"/>
  <c r="J33" i="12" s="1"/>
  <c r="L6" i="14" s="1"/>
  <c r="F29" i="12"/>
  <c r="F34" i="12" s="1"/>
  <c r="H28" i="12"/>
  <c r="H33" i="12" s="1"/>
  <c r="H6" i="14" s="1"/>
  <c r="F30" i="12"/>
  <c r="F35" i="12"/>
  <c r="H30" i="12"/>
  <c r="H35" i="12"/>
  <c r="H8" i="14" s="1"/>
  <c r="I29" i="12"/>
  <c r="I34" i="12" s="1"/>
  <c r="J7" i="14" s="1"/>
  <c r="I34" i="4"/>
  <c r="H8" i="8" s="1"/>
  <c r="G8" i="8"/>
  <c r="I32" i="4"/>
  <c r="H6" i="8" s="1"/>
  <c r="H40" i="4"/>
  <c r="H41" i="4"/>
  <c r="H39" i="4"/>
  <c r="I31" i="4"/>
  <c r="H5" i="8" s="1"/>
  <c r="F38" i="12" l="1"/>
  <c r="D6" i="14"/>
  <c r="C30" i="14" s="1"/>
  <c r="F40" i="12"/>
  <c r="G40" i="12" s="1"/>
  <c r="H40" i="12" s="1"/>
  <c r="I40" i="12" s="1"/>
  <c r="J40" i="12" s="1"/>
  <c r="D8" i="14"/>
  <c r="C32" i="14" s="1"/>
  <c r="F39" i="12"/>
  <c r="D7" i="14"/>
  <c r="C31" i="14" s="1"/>
  <c r="G39" i="12"/>
  <c r="H39" i="12" s="1"/>
  <c r="H38" i="12"/>
  <c r="I38" i="12" s="1"/>
  <c r="J38" i="12" s="1"/>
  <c r="G38" i="12"/>
  <c r="I40" i="4"/>
  <c r="I41" i="4"/>
  <c r="I39" i="4"/>
  <c r="G7" i="1"/>
  <c r="H7" i="1"/>
  <c r="I7" i="1"/>
  <c r="J7" i="1"/>
  <c r="K7" i="1"/>
  <c r="G11" i="1"/>
  <c r="H11" i="1"/>
  <c r="I11" i="1"/>
  <c r="J11" i="1"/>
  <c r="K11" i="1"/>
  <c r="G20" i="1"/>
  <c r="H20" i="1"/>
  <c r="I20" i="1"/>
  <c r="J20" i="1"/>
  <c r="K20" i="1"/>
  <c r="G32" i="14" l="1"/>
  <c r="E32" i="14"/>
  <c r="I39" i="12"/>
  <c r="E14" i="14"/>
  <c r="G30" i="14"/>
  <c r="E30" i="14"/>
  <c r="H22" i="1"/>
  <c r="I22" i="1"/>
  <c r="K22" i="1"/>
  <c r="J22" i="1"/>
  <c r="G22" i="1"/>
  <c r="J39" i="12" l="1"/>
  <c r="F14" i="14"/>
  <c r="G14" i="14" s="1"/>
  <c r="H14" i="14" s="1"/>
  <c r="G24" i="14" l="1"/>
  <c r="G23" i="14"/>
  <c r="F31" i="14" s="1"/>
  <c r="D31" i="14"/>
  <c r="G31" i="14"/>
  <c r="E31" i="14"/>
</calcChain>
</file>

<file path=xl/sharedStrings.xml><?xml version="1.0" encoding="utf-8"?>
<sst xmlns="http://schemas.openxmlformats.org/spreadsheetml/2006/main" count="199" uniqueCount="110">
  <si>
    <t>INVERSIONES</t>
  </si>
  <si>
    <t>AÑO 1</t>
  </si>
  <si>
    <t>AÑO 2</t>
  </si>
  <si>
    <t>AÑO 3</t>
  </si>
  <si>
    <t>AÑO 4</t>
  </si>
  <si>
    <t>AÑO 5</t>
  </si>
  <si>
    <t>1. Gastos de constitución y primer establecimiento</t>
  </si>
  <si>
    <t>Gastos de constitución</t>
  </si>
  <si>
    <t>Gastos de primer establecimiento</t>
  </si>
  <si>
    <t>Total de Gastos de constitución y primer establecimiento</t>
  </si>
  <si>
    <t>2. Inmovilizaciones Inmateriales</t>
  </si>
  <si>
    <t>Aplicaciones informáticas</t>
  </si>
  <si>
    <t>Total de Inmovilización Inmateriales</t>
  </si>
  <si>
    <t>3. Inmovilizaciones Materiales</t>
  </si>
  <si>
    <t xml:space="preserve">Construcciones </t>
  </si>
  <si>
    <t>Maquinaria</t>
  </si>
  <si>
    <t>Mobiliario</t>
  </si>
  <si>
    <t>Elementos de transporte</t>
  </si>
  <si>
    <t>Total de Inmovilizaciones Materiales</t>
  </si>
  <si>
    <t>Total de Inversiones</t>
  </si>
  <si>
    <t>SALUD ESTRUCTURAL Y CONTROL DE EDIFICIOS</t>
  </si>
  <si>
    <t>Precio medio</t>
  </si>
  <si>
    <t>Unidades vendidas</t>
  </si>
  <si>
    <t>Ingresos</t>
  </si>
  <si>
    <t>Sistemas de detección de presencia y sensores de nivel de agua y temperatura</t>
  </si>
  <si>
    <t>Sensores de vibración e impacto</t>
  </si>
  <si>
    <t>Sistemas de contol de unidades de CC (válvulas de riego, termostatos, sistemas de iluminación, motores, PLC, etc)</t>
  </si>
  <si>
    <t>AGRICULTURA DE PRECISIÓN</t>
  </si>
  <si>
    <t>Sistemas de riego</t>
  </si>
  <si>
    <t>Estaciones meteorológicas</t>
  </si>
  <si>
    <t>Sistemas de gestión de invernadero</t>
  </si>
  <si>
    <t>Sistemas de detección de crecimiento y diámetro del fruto</t>
  </si>
  <si>
    <t>Unidades vendidos</t>
  </si>
  <si>
    <t>TOTAL</t>
  </si>
  <si>
    <t>CONTROL MEDIOAMBIENTAL</t>
  </si>
  <si>
    <t>Sistemas de monitorización de la contaminación de la ciudad</t>
  </si>
  <si>
    <t>Sistema de control de emisiones de granjas y criaderos</t>
  </si>
  <si>
    <t>Sistemas de detección de incendios forestales</t>
  </si>
  <si>
    <t>Control de procesos químicos e industriales</t>
  </si>
  <si>
    <t>Sistema de detección de establecimientos gratuitos al aire libre / cubierto</t>
  </si>
  <si>
    <t>Sistemas de información de estacionamiento disponible</t>
  </si>
  <si>
    <t>GESTION DE TRÁFICO</t>
  </si>
  <si>
    <t>PREVISION DE INGRESOS</t>
  </si>
  <si>
    <t>SALUD ESTRUCTURAL Y CONTROL DE EDIFCIOS</t>
  </si>
  <si>
    <t>GESTION DE TRAFICO</t>
  </si>
  <si>
    <t>ESCENARIO 1 (1+4)</t>
  </si>
  <si>
    <t>ESCENARIO 2 (2+3)</t>
  </si>
  <si>
    <t>ESCENARIO 3 (1+2+3+4)</t>
  </si>
  <si>
    <t>Gastos de personal</t>
  </si>
  <si>
    <t>Alquileres</t>
  </si>
  <si>
    <t>Gastos generales</t>
  </si>
  <si>
    <t>Seguros y tributos</t>
  </si>
  <si>
    <t>Aprovisionamientos</t>
  </si>
  <si>
    <t>Otros</t>
  </si>
  <si>
    <t>Amortizaciones</t>
  </si>
  <si>
    <t>COSTES FIJOS (€)</t>
  </si>
  <si>
    <t xml:space="preserve">AÑO 2 </t>
  </si>
  <si>
    <t>INGRESOS TOTALES</t>
  </si>
  <si>
    <t>COSTES FIJOS</t>
  </si>
  <si>
    <t>AMORTIZACIONES</t>
  </si>
  <si>
    <t>GASTOS VARIABLES</t>
  </si>
  <si>
    <t>BENEFICIOS</t>
  </si>
  <si>
    <t>IMPUESTOS</t>
  </si>
  <si>
    <t>BENEFICIOS NETOS</t>
  </si>
  <si>
    <t>BENEFICIOS ACUMULADOS</t>
  </si>
  <si>
    <t>Año 1</t>
  </si>
  <si>
    <t>Año 2</t>
  </si>
  <si>
    <t>Año 3</t>
  </si>
  <si>
    <t>Año 4</t>
  </si>
  <si>
    <t>Año 5</t>
  </si>
  <si>
    <t>Equipos informáticos</t>
  </si>
  <si>
    <t>Equipos para procesos de prototipado</t>
  </si>
  <si>
    <t>Total</t>
  </si>
  <si>
    <t>Previsión de costes variables</t>
  </si>
  <si>
    <t>Salud y control de edificios</t>
  </si>
  <si>
    <t>Agricultura de precisión</t>
  </si>
  <si>
    <t>Control medioambiental</t>
  </si>
  <si>
    <t>Gestión de tráfico</t>
  </si>
  <si>
    <t>Proyecto escenario</t>
  </si>
  <si>
    <t>Inversión inicial (K€)</t>
  </si>
  <si>
    <t>Flujos netos de caja (FNC)</t>
  </si>
  <si>
    <t>1+2</t>
  </si>
  <si>
    <t>3+4</t>
  </si>
  <si>
    <t>1+2+3+4</t>
  </si>
  <si>
    <t>Interés(%)</t>
  </si>
  <si>
    <t>VAN</t>
  </si>
  <si>
    <t>Cálculo del BET (Beneficio acumulado)</t>
  </si>
  <si>
    <t>último año &lt; 0</t>
  </si>
  <si>
    <t>1er año &gt; 0</t>
  </si>
  <si>
    <t>cifra &lt; 0</t>
  </si>
  <si>
    <t>cifra &gt; 0</t>
  </si>
  <si>
    <t>BET (días)</t>
  </si>
  <si>
    <t>BET (años)</t>
  </si>
  <si>
    <t>BET (años + meses)</t>
  </si>
  <si>
    <t>BET</t>
  </si>
  <si>
    <t>ROI</t>
  </si>
  <si>
    <t>Escenarios</t>
  </si>
  <si>
    <t>1+4</t>
  </si>
  <si>
    <t>2+3</t>
  </si>
  <si>
    <t>Cálculo cifra de equilibrio (Gastos y ingresos acumulados)</t>
  </si>
  <si>
    <t>Proyecto</t>
  </si>
  <si>
    <t>último año &lt;  0</t>
  </si>
  <si>
    <t>CE</t>
  </si>
  <si>
    <t>1+2+3+4 (I)</t>
  </si>
  <si>
    <t>1+2+3+4 (G)</t>
  </si>
  <si>
    <t>1+4 (I)</t>
  </si>
  <si>
    <t>1+4 (G)</t>
  </si>
  <si>
    <t>2+3 (I)</t>
  </si>
  <si>
    <t>2+3 (G)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</si>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</sst>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8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0" fillId="18" borderId="1" xfId="0" applyFill="1" applyBorder="1"/>
    <xf numFmtId="0" fontId="0" fillId="0" borderId="0" xfId="0" applyAlignment="1">
      <alignment horizontal="left" vertical="center"/>
    </xf>
    <xf numFmtId="0" fontId="0" fillId="20" borderId="1" xfId="0" applyFill="1" applyBorder="1"/>
    <xf numFmtId="0" fontId="0" fillId="6" borderId="1" xfId="0" applyFill="1" applyBorder="1"/>
    <xf numFmtId="0" fontId="3" fillId="6" borderId="1" xfId="0" applyFont="1" applyFill="1" applyBorder="1"/>
    <xf numFmtId="0" fontId="0" fillId="13" borderId="1" xfId="0" applyFill="1" applyBorder="1" applyAlignment="1">
      <alignment horizontal="center"/>
    </xf>
    <xf numFmtId="0" fontId="4" fillId="16" borderId="1" xfId="0" applyFont="1" applyFill="1" applyBorder="1"/>
    <xf numFmtId="0" fontId="5" fillId="2" borderId="1" xfId="0" applyFont="1" applyFill="1" applyBorder="1"/>
    <xf numFmtId="0" fontId="5" fillId="16" borderId="1" xfId="0" applyFont="1" applyFill="1" applyBorder="1"/>
    <xf numFmtId="0" fontId="0" fillId="0" borderId="0" xfId="0" applyBorder="1" applyAlignment="1">
      <alignment vertical="top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9" borderId="2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1" fillId="12" borderId="2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7" borderId="2" xfId="0" applyFill="1" applyBorder="1" applyAlignment="1">
      <alignment horizontal="left"/>
    </xf>
    <xf numFmtId="0" fontId="0" fillId="17" borderId="3" xfId="0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0" fillId="15" borderId="2" xfId="0" applyFill="1" applyBorder="1" applyAlignment="1">
      <alignment horizontal="left"/>
    </xf>
    <xf numFmtId="0" fontId="0" fillId="15" borderId="3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19" borderId="2" xfId="0" applyFont="1" applyFill="1" applyBorder="1" applyAlignment="1">
      <alignment horizontal="left"/>
    </xf>
    <xf numFmtId="0" fontId="1" fillId="19" borderId="3" xfId="0" applyFont="1" applyFill="1" applyBorder="1" applyAlignment="1">
      <alignment horizontal="left"/>
    </xf>
    <xf numFmtId="0" fontId="1" fillId="19" borderId="4" xfId="0" applyFont="1" applyFill="1" applyBorder="1" applyAlignment="1">
      <alignment horizontal="left"/>
    </xf>
    <xf numFmtId="0" fontId="0" fillId="21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INVERSIONES!$B$4</c:f>
              <c:strCache>
                <c:ptCount val="1"/>
                <c:pt idx="0">
                  <c:v>1. Gastos de constitución y primer establecimiento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(INVERSIONES!$G$7,INVERSIONES!$H$7,INVERSIONES!$I$7,INVERSIONES!$J$7,INVERSIONES!$K$7)</c:f>
              <c:numCache>
                <c:formatCode>General</c:formatCode>
                <c:ptCount val="5"/>
                <c:pt idx="0">
                  <c:v>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9-4B83-B9B9-1EC6727406D1}"/>
            </c:ext>
          </c:extLst>
        </c:ser>
        <c:ser>
          <c:idx val="1"/>
          <c:order val="1"/>
          <c:tx>
            <c:strRef>
              <c:f>INVERSIONES!$B$9</c:f>
              <c:strCache>
                <c:ptCount val="1"/>
                <c:pt idx="0">
                  <c:v>2. Inmovilizaciones Inmateriales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(INVERSIONES!$G$11,INVERSIONES!$H$11,INVERSIONES!$J$11,INVERSIONES!$I$11,INVERSIONES!$K$11)</c:f>
              <c:numCache>
                <c:formatCode>General</c:formatCode>
                <c:ptCount val="5"/>
                <c:pt idx="0">
                  <c:v>2700</c:v>
                </c:pt>
                <c:pt idx="1">
                  <c:v>0</c:v>
                </c:pt>
                <c:pt idx="2">
                  <c:v>0</c:v>
                </c:pt>
                <c:pt idx="3">
                  <c:v>3600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9-4B83-B9B9-1EC6727406D1}"/>
            </c:ext>
          </c:extLst>
        </c:ser>
        <c:ser>
          <c:idx val="2"/>
          <c:order val="2"/>
          <c:tx>
            <c:strRef>
              <c:f>INVERSIONES!$B$13</c:f>
              <c:strCache>
                <c:ptCount val="1"/>
                <c:pt idx="0">
                  <c:v>3. Inmovilizaciones Materiales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(INVERSIONES!$G$20,INVERSIONES!$H$20,INVERSIONES!$H$20,INVERSIONES!$I$20,INVERSIONES!$J$20,INVERSIONES!$K$20)</c:f>
              <c:numCache>
                <c:formatCode>General</c:formatCode>
                <c:ptCount val="6"/>
                <c:pt idx="0">
                  <c:v>43300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E9-4B83-B9B9-1EC6727406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gapDepth val="75"/>
        <c:shape val="box"/>
        <c:axId val="1251616080"/>
        <c:axId val="1094884896"/>
        <c:axId val="0"/>
      </c:bar3DChart>
      <c:catAx>
        <c:axId val="125161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4884896"/>
        <c:crosses val="autoZero"/>
        <c:auto val="1"/>
        <c:lblAlgn val="ctr"/>
        <c:lblOffset val="100"/>
        <c:noMultiLvlLbl val="0"/>
      </c:catAx>
      <c:valAx>
        <c:axId val="10948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INVERSION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6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PREVISIÓN</a:t>
            </a:r>
            <a:r>
              <a:rPr lang="es-ES" baseline="0"/>
              <a:t> DE INGRESOS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478031496062992"/>
          <c:y val="2.5428331875182269E-2"/>
          <c:w val="0.8521968503937007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INGRESOS!$B$39</c:f>
              <c:strCache>
                <c:ptCount val="1"/>
                <c:pt idx="0">
                  <c:v>ESCENARIO 1 (1+4)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INGRESOS!$C$38:$I$38</c:f>
              <c:strCache>
                <c:ptCount val="7"/>
                <c:pt idx="2">
                  <c:v>AÑO 1</c:v>
                </c:pt>
                <c:pt idx="3">
                  <c:v>AÑO 2</c:v>
                </c:pt>
                <c:pt idx="4">
                  <c:v>AÑO 3</c:v>
                </c:pt>
                <c:pt idx="5">
                  <c:v>AÑO 4</c:v>
                </c:pt>
                <c:pt idx="6">
                  <c:v>AÑO 5</c:v>
                </c:pt>
              </c:strCache>
            </c:strRef>
          </c:cat>
          <c:val>
            <c:numRef>
              <c:f>INGRESOS!$C$39:$I$39</c:f>
              <c:numCache>
                <c:formatCode>General</c:formatCode>
                <c:ptCount val="7"/>
                <c:pt idx="2">
                  <c:v>121000</c:v>
                </c:pt>
                <c:pt idx="3">
                  <c:v>135762</c:v>
                </c:pt>
                <c:pt idx="4">
                  <c:v>148863.033</c:v>
                </c:pt>
                <c:pt idx="5">
                  <c:v>163560.85847640003</c:v>
                </c:pt>
                <c:pt idx="6">
                  <c:v>177004.0451499804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A-447F-856F-DA63CC0532DF}"/>
            </c:ext>
          </c:extLst>
        </c:ser>
        <c:ser>
          <c:idx val="1"/>
          <c:order val="1"/>
          <c:tx>
            <c:strRef>
              <c:f>INGRESOS!$B$40</c:f>
              <c:strCache>
                <c:ptCount val="1"/>
                <c:pt idx="0">
                  <c:v>ESCENARIO 2 (2+3)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INGRESOS!$C$38:$I$38</c:f>
              <c:strCache>
                <c:ptCount val="7"/>
                <c:pt idx="2">
                  <c:v>AÑO 1</c:v>
                </c:pt>
                <c:pt idx="3">
                  <c:v>AÑO 2</c:v>
                </c:pt>
                <c:pt idx="4">
                  <c:v>AÑO 3</c:v>
                </c:pt>
                <c:pt idx="5">
                  <c:v>AÑO 4</c:v>
                </c:pt>
                <c:pt idx="6">
                  <c:v>AÑO 5</c:v>
                </c:pt>
              </c:strCache>
            </c:strRef>
          </c:cat>
          <c:val>
            <c:numRef>
              <c:f>INGRESOS!$C$40:$I$40</c:f>
              <c:numCache>
                <c:formatCode>General</c:formatCode>
                <c:ptCount val="7"/>
                <c:pt idx="2">
                  <c:v>95500</c:v>
                </c:pt>
                <c:pt idx="3">
                  <c:v>106508.4</c:v>
                </c:pt>
                <c:pt idx="4">
                  <c:v>116078.57243999999</c:v>
                </c:pt>
                <c:pt idx="5">
                  <c:v>129478.39982870402</c:v>
                </c:pt>
                <c:pt idx="6">
                  <c:v>141133.91230478199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A-447F-856F-DA63CC0532DF}"/>
            </c:ext>
          </c:extLst>
        </c:ser>
        <c:ser>
          <c:idx val="2"/>
          <c:order val="2"/>
          <c:tx>
            <c:strRef>
              <c:f>INGRESOS!$B$41</c:f>
              <c:strCache>
                <c:ptCount val="1"/>
                <c:pt idx="0">
                  <c:v>ESCENARIO 3 (1+2+3+4)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INGRESOS!$C$38:$I$38</c:f>
              <c:strCache>
                <c:ptCount val="7"/>
                <c:pt idx="2">
                  <c:v>AÑO 1</c:v>
                </c:pt>
                <c:pt idx="3">
                  <c:v>AÑO 2</c:v>
                </c:pt>
                <c:pt idx="4">
                  <c:v>AÑO 3</c:v>
                </c:pt>
                <c:pt idx="5">
                  <c:v>AÑO 4</c:v>
                </c:pt>
                <c:pt idx="6">
                  <c:v>AÑO 5</c:v>
                </c:pt>
              </c:strCache>
            </c:strRef>
          </c:cat>
          <c:val>
            <c:numRef>
              <c:f>INGRESOS!$C$41:$I$41</c:f>
              <c:numCache>
                <c:formatCode>General</c:formatCode>
                <c:ptCount val="7"/>
                <c:pt idx="2">
                  <c:v>216500</c:v>
                </c:pt>
                <c:pt idx="3">
                  <c:v>242270.4</c:v>
                </c:pt>
                <c:pt idx="4">
                  <c:v>264941.60544000001</c:v>
                </c:pt>
                <c:pt idx="5">
                  <c:v>293039.25830510398</c:v>
                </c:pt>
                <c:pt idx="6">
                  <c:v>318137.95745476242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A-447F-856F-DA63CC05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831968"/>
        <c:axId val="1572708896"/>
      </c:barChart>
      <c:catAx>
        <c:axId val="151283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708896"/>
        <c:crosses val="autoZero"/>
        <c:auto val="1"/>
        <c:lblAlgn val="ctr"/>
        <c:lblOffset val="100"/>
        <c:noMultiLvlLbl val="0"/>
      </c:catAx>
      <c:valAx>
        <c:axId val="157270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283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AMORTIZACIONES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AMORTIZACIONES!$C$6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AMORTIZACIONES!$B$7:$B$15</c:f>
              <c:strCache>
                <c:ptCount val="9"/>
                <c:pt idx="0">
                  <c:v>Gastos de constitución</c:v>
                </c:pt>
                <c:pt idx="1">
                  <c:v>Gastos de primer establecimiento</c:v>
                </c:pt>
                <c:pt idx="2">
                  <c:v>Aplicaciones informáticas</c:v>
                </c:pt>
                <c:pt idx="3">
                  <c:v>Maquinaria</c:v>
                </c:pt>
                <c:pt idx="4">
                  <c:v>Mobiliario</c:v>
                </c:pt>
                <c:pt idx="5">
                  <c:v>Equipos informáticos</c:v>
                </c:pt>
                <c:pt idx="6">
                  <c:v>Equipos para procesos de prototipado</c:v>
                </c:pt>
                <c:pt idx="7">
                  <c:v>Elementos de transporte</c:v>
                </c:pt>
                <c:pt idx="8">
                  <c:v>Total</c:v>
                </c:pt>
              </c:strCache>
            </c:strRef>
          </c:cat>
          <c:val>
            <c:numRef>
              <c:f>AMORTIZACIONES!$C$7:$C$15</c:f>
              <c:numCache>
                <c:formatCode>General</c:formatCode>
                <c:ptCount val="9"/>
                <c:pt idx="0">
                  <c:v>300</c:v>
                </c:pt>
                <c:pt idx="1">
                  <c:v>500</c:v>
                </c:pt>
                <c:pt idx="2">
                  <c:v>1350</c:v>
                </c:pt>
                <c:pt idx="3">
                  <c:v>720</c:v>
                </c:pt>
                <c:pt idx="4">
                  <c:v>600</c:v>
                </c:pt>
                <c:pt idx="5">
                  <c:v>2046</c:v>
                </c:pt>
                <c:pt idx="6">
                  <c:v>6105</c:v>
                </c:pt>
                <c:pt idx="7">
                  <c:v>1800</c:v>
                </c:pt>
                <c:pt idx="8">
                  <c:v>13421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D-4274-A24E-A022E719D7D6}"/>
            </c:ext>
          </c:extLst>
        </c:ser>
        <c:ser>
          <c:idx val="1"/>
          <c:order val="1"/>
          <c:tx>
            <c:strRef>
              <c:f>AMORTIZACIONES!$D$6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AMORTIZACIONES!$B$7:$B$15</c:f>
              <c:strCache>
                <c:ptCount val="9"/>
                <c:pt idx="0">
                  <c:v>Gastos de constitución</c:v>
                </c:pt>
                <c:pt idx="1">
                  <c:v>Gastos de primer establecimiento</c:v>
                </c:pt>
                <c:pt idx="2">
                  <c:v>Aplicaciones informáticas</c:v>
                </c:pt>
                <c:pt idx="3">
                  <c:v>Maquinaria</c:v>
                </c:pt>
                <c:pt idx="4">
                  <c:v>Mobiliario</c:v>
                </c:pt>
                <c:pt idx="5">
                  <c:v>Equipos informáticos</c:v>
                </c:pt>
                <c:pt idx="6">
                  <c:v>Equipos para procesos de prototipado</c:v>
                </c:pt>
                <c:pt idx="7">
                  <c:v>Elementos de transporte</c:v>
                </c:pt>
                <c:pt idx="8">
                  <c:v>Total</c:v>
                </c:pt>
              </c:strCache>
            </c:strRef>
          </c:cat>
          <c:val>
            <c:numRef>
              <c:f>AMORTIZACIONES!$D$7:$D$15</c:f>
              <c:numCache>
                <c:formatCode>General</c:formatCode>
                <c:ptCount val="9"/>
                <c:pt idx="0">
                  <c:v>300</c:v>
                </c:pt>
                <c:pt idx="1">
                  <c:v>500</c:v>
                </c:pt>
                <c:pt idx="2">
                  <c:v>1350</c:v>
                </c:pt>
                <c:pt idx="3">
                  <c:v>720</c:v>
                </c:pt>
                <c:pt idx="4">
                  <c:v>600</c:v>
                </c:pt>
                <c:pt idx="5">
                  <c:v>2046</c:v>
                </c:pt>
                <c:pt idx="6">
                  <c:v>6105</c:v>
                </c:pt>
                <c:pt idx="7">
                  <c:v>1800</c:v>
                </c:pt>
                <c:pt idx="8">
                  <c:v>13421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D-4274-A24E-A022E719D7D6}"/>
            </c:ext>
          </c:extLst>
        </c:ser>
        <c:ser>
          <c:idx val="2"/>
          <c:order val="2"/>
          <c:tx>
            <c:strRef>
              <c:f>AMORTIZACIONES!$E$6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AMORTIZACIONES!$B$7:$B$15</c:f>
              <c:strCache>
                <c:ptCount val="9"/>
                <c:pt idx="0">
                  <c:v>Gastos de constitución</c:v>
                </c:pt>
                <c:pt idx="1">
                  <c:v>Gastos de primer establecimiento</c:v>
                </c:pt>
                <c:pt idx="2">
                  <c:v>Aplicaciones informáticas</c:v>
                </c:pt>
                <c:pt idx="3">
                  <c:v>Maquinaria</c:v>
                </c:pt>
                <c:pt idx="4">
                  <c:v>Mobiliario</c:v>
                </c:pt>
                <c:pt idx="5">
                  <c:v>Equipos informáticos</c:v>
                </c:pt>
                <c:pt idx="6">
                  <c:v>Equipos para procesos de prototipado</c:v>
                </c:pt>
                <c:pt idx="7">
                  <c:v>Elementos de transporte</c:v>
                </c:pt>
                <c:pt idx="8">
                  <c:v>Total</c:v>
                </c:pt>
              </c:strCache>
            </c:strRef>
          </c:cat>
          <c:val>
            <c:numRef>
              <c:f>AMORTIZACIONES!$E$7:$E$15</c:f>
              <c:numCache>
                <c:formatCode>General</c:formatCode>
                <c:ptCount val="9"/>
                <c:pt idx="0">
                  <c:v>300</c:v>
                </c:pt>
                <c:pt idx="1">
                  <c:v>500</c:v>
                </c:pt>
                <c:pt idx="2">
                  <c:v>1188</c:v>
                </c:pt>
                <c:pt idx="3">
                  <c:v>720</c:v>
                </c:pt>
                <c:pt idx="4">
                  <c:v>600</c:v>
                </c:pt>
                <c:pt idx="5">
                  <c:v>2046</c:v>
                </c:pt>
                <c:pt idx="6">
                  <c:v>6105</c:v>
                </c:pt>
                <c:pt idx="7">
                  <c:v>1800</c:v>
                </c:pt>
                <c:pt idx="8">
                  <c:v>13259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D-4274-A24E-A022E719D7D6}"/>
            </c:ext>
          </c:extLst>
        </c:ser>
        <c:ser>
          <c:idx val="3"/>
          <c:order val="3"/>
          <c:tx>
            <c:strRef>
              <c:f>AMORTIZACIONES!$F$6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AMORTIZACIONES!$B$7:$B$15</c:f>
              <c:strCache>
                <c:ptCount val="9"/>
                <c:pt idx="0">
                  <c:v>Gastos de constitución</c:v>
                </c:pt>
                <c:pt idx="1">
                  <c:v>Gastos de primer establecimiento</c:v>
                </c:pt>
                <c:pt idx="2">
                  <c:v>Aplicaciones informáticas</c:v>
                </c:pt>
                <c:pt idx="3">
                  <c:v>Maquinaria</c:v>
                </c:pt>
                <c:pt idx="4">
                  <c:v>Mobiliario</c:v>
                </c:pt>
                <c:pt idx="5">
                  <c:v>Equipos informáticos</c:v>
                </c:pt>
                <c:pt idx="6">
                  <c:v>Equipos para procesos de prototipado</c:v>
                </c:pt>
                <c:pt idx="7">
                  <c:v>Elementos de transporte</c:v>
                </c:pt>
                <c:pt idx="8">
                  <c:v>Total</c:v>
                </c:pt>
              </c:strCache>
            </c:strRef>
          </c:cat>
          <c:val>
            <c:numRef>
              <c:f>AMORTIZACIONES!$F$7:$F$15</c:f>
              <c:numCache>
                <c:formatCode>General</c:formatCode>
                <c:ptCount val="9"/>
                <c:pt idx="0">
                  <c:v>300</c:v>
                </c:pt>
                <c:pt idx="1">
                  <c:v>500</c:v>
                </c:pt>
                <c:pt idx="2">
                  <c:v>1188</c:v>
                </c:pt>
                <c:pt idx="3">
                  <c:v>720</c:v>
                </c:pt>
                <c:pt idx="4">
                  <c:v>600</c:v>
                </c:pt>
                <c:pt idx="5">
                  <c:v>2500</c:v>
                </c:pt>
                <c:pt idx="6">
                  <c:v>7500</c:v>
                </c:pt>
                <c:pt idx="7">
                  <c:v>1800</c:v>
                </c:pt>
                <c:pt idx="8">
                  <c:v>15108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D-4274-A24E-A022E719D7D6}"/>
            </c:ext>
          </c:extLst>
        </c:ser>
        <c:ser>
          <c:idx val="4"/>
          <c:order val="4"/>
          <c:tx>
            <c:strRef>
              <c:f>AMORTIZACIONES!$G$6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AMORTIZACIONES!$B$7:$B$15</c:f>
              <c:strCache>
                <c:ptCount val="9"/>
                <c:pt idx="0">
                  <c:v>Gastos de constitución</c:v>
                </c:pt>
                <c:pt idx="1">
                  <c:v>Gastos de primer establecimiento</c:v>
                </c:pt>
                <c:pt idx="2">
                  <c:v>Aplicaciones informáticas</c:v>
                </c:pt>
                <c:pt idx="3">
                  <c:v>Maquinaria</c:v>
                </c:pt>
                <c:pt idx="4">
                  <c:v>Mobiliario</c:v>
                </c:pt>
                <c:pt idx="5">
                  <c:v>Equipos informáticos</c:v>
                </c:pt>
                <c:pt idx="6">
                  <c:v>Equipos para procesos de prototipado</c:v>
                </c:pt>
                <c:pt idx="7">
                  <c:v>Elementos de transporte</c:v>
                </c:pt>
                <c:pt idx="8">
                  <c:v>Total</c:v>
                </c:pt>
              </c:strCache>
            </c:strRef>
          </c:cat>
          <c:val>
            <c:numRef>
              <c:f>AMORTIZACIONES!$G$7:$G$15</c:f>
              <c:numCache>
                <c:formatCode>General</c:formatCode>
                <c:ptCount val="9"/>
                <c:pt idx="0">
                  <c:v>300</c:v>
                </c:pt>
                <c:pt idx="1">
                  <c:v>500</c:v>
                </c:pt>
                <c:pt idx="2">
                  <c:v>1188</c:v>
                </c:pt>
                <c:pt idx="3">
                  <c:v>720</c:v>
                </c:pt>
                <c:pt idx="4">
                  <c:v>600</c:v>
                </c:pt>
                <c:pt idx="5">
                  <c:v>2500</c:v>
                </c:pt>
                <c:pt idx="6">
                  <c:v>7500</c:v>
                </c:pt>
                <c:pt idx="7">
                  <c:v>1800</c:v>
                </c:pt>
                <c:pt idx="8">
                  <c:v>15108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7D-4274-A24E-A022E719D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2202800"/>
        <c:axId val="1726888256"/>
        <c:axId val="1571157808"/>
      </c:bar3DChart>
      <c:catAx>
        <c:axId val="17222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6888256"/>
        <c:crosses val="autoZero"/>
        <c:auto val="1"/>
        <c:lblAlgn val="ctr"/>
        <c:lblOffset val="100"/>
        <c:noMultiLvlLbl val="0"/>
      </c:catAx>
      <c:valAx>
        <c:axId val="17268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202800"/>
        <c:crosses val="autoZero"/>
        <c:crossBetween val="between"/>
      </c:valAx>
      <c:serAx>
        <c:axId val="1571157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68882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PREVISIÓN</a:t>
            </a:r>
            <a:r>
              <a:rPr lang="es-ES" baseline="0"/>
              <a:t> COSTES VARIABLES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'COSTES VARIABLES'!$C$5</c:f>
              <c:strCache>
                <c:ptCount val="1"/>
                <c:pt idx="0">
                  <c:v>Salud y control de edificios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'COSTES VARIABLES'!$D$4:$H$4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'COSTES VARIABLES'!$D$5:$H$5</c:f>
              <c:numCache>
                <c:formatCode>General</c:formatCode>
                <c:ptCount val="5"/>
                <c:pt idx="0">
                  <c:v>17250</c:v>
                </c:pt>
                <c:pt idx="1">
                  <c:v>19354.5</c:v>
                </c:pt>
                <c:pt idx="2">
                  <c:v>21222.20925</c:v>
                </c:pt>
                <c:pt idx="3">
                  <c:v>22945.452641100001</c:v>
                </c:pt>
                <c:pt idx="4">
                  <c:v>24574.579778618103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B-4D58-9BBF-E2D589640AB6}"/>
            </c:ext>
          </c:extLst>
        </c:ser>
        <c:ser>
          <c:idx val="1"/>
          <c:order val="1"/>
          <c:tx>
            <c:strRef>
              <c:f>'COSTES VARIABLES'!$C$6</c:f>
              <c:strCache>
                <c:ptCount val="1"/>
                <c:pt idx="0">
                  <c:v>Agricultura de precisión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'COSTES VARIABLES'!$D$4:$H$4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'COSTES VARIABLES'!$D$6:$H$6</c:f>
              <c:numCache>
                <c:formatCode>General</c:formatCode>
                <c:ptCount val="5"/>
                <c:pt idx="0">
                  <c:v>9450</c:v>
                </c:pt>
                <c:pt idx="1">
                  <c:v>10410.120000000001</c:v>
                </c:pt>
                <c:pt idx="2">
                  <c:v>11202.330132000001</c:v>
                </c:pt>
                <c:pt idx="3">
                  <c:v>12340.486873411201</c:v>
                </c:pt>
                <c:pt idx="4">
                  <c:v>13279.59792447779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B-4D58-9BBF-E2D589640AB6}"/>
            </c:ext>
          </c:extLst>
        </c:ser>
        <c:ser>
          <c:idx val="2"/>
          <c:order val="2"/>
          <c:tx>
            <c:strRef>
              <c:f>'COSTES VARIABLES'!$C$7</c:f>
              <c:strCache>
                <c:ptCount val="1"/>
                <c:pt idx="0">
                  <c:v>Control medioambiental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'COSTES VARIABLES'!$D$4:$H$4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'COSTES VARIABLES'!$D$7:$H$7</c:f>
              <c:numCache>
                <c:formatCode>General</c:formatCode>
                <c:ptCount val="5"/>
                <c:pt idx="0">
                  <c:v>16000</c:v>
                </c:pt>
                <c:pt idx="1">
                  <c:v>17952</c:v>
                </c:pt>
                <c:pt idx="2">
                  <c:v>19684.367999999999</c:v>
                </c:pt>
                <c:pt idx="3">
                  <c:v>22085.860896000002</c:v>
                </c:pt>
                <c:pt idx="4">
                  <c:v>24217.146472464003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B-4D58-9BBF-E2D589640AB6}"/>
            </c:ext>
          </c:extLst>
        </c:ser>
        <c:ser>
          <c:idx val="3"/>
          <c:order val="3"/>
          <c:tx>
            <c:strRef>
              <c:f>'COSTES VARIABLES'!$C$8</c:f>
              <c:strCache>
                <c:ptCount val="1"/>
                <c:pt idx="0">
                  <c:v>Gestión de tráfico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'COSTES VARIABLES'!$D$4:$H$4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'COSTES VARIABLES'!$D$8:$H$8</c:f>
              <c:numCache>
                <c:formatCode>General</c:formatCode>
                <c:ptCount val="5"/>
                <c:pt idx="0">
                  <c:v>15600</c:v>
                </c:pt>
                <c:pt idx="1">
                  <c:v>17503.2</c:v>
                </c:pt>
                <c:pt idx="2">
                  <c:v>19192.2588</c:v>
                </c:pt>
                <c:pt idx="3">
                  <c:v>21533.714373600003</c:v>
                </c:pt>
                <c:pt idx="4">
                  <c:v>23611.717810652401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EB-4D58-9BBF-E2D589640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194000"/>
        <c:axId val="1726882848"/>
      </c:barChart>
      <c:catAx>
        <c:axId val="172219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6882848"/>
        <c:crosses val="autoZero"/>
        <c:auto val="1"/>
        <c:lblAlgn val="ctr"/>
        <c:lblOffset val="100"/>
        <c:noMultiLvlLbl val="0"/>
      </c:catAx>
      <c:valAx>
        <c:axId val="17268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219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COSTES</a:t>
            </a:r>
            <a:r>
              <a:rPr lang="es-ES" baseline="0"/>
              <a:t> FIJOS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'COSTES FIJOS'!$C$6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'COSTES FIJOS'!$B$7:$B$14</c:f>
              <c:strCache>
                <c:ptCount val="8"/>
                <c:pt idx="0">
                  <c:v>Gastos de personal</c:v>
                </c:pt>
                <c:pt idx="1">
                  <c:v>Alquileres</c:v>
                </c:pt>
                <c:pt idx="2">
                  <c:v>Gastos generales</c:v>
                </c:pt>
                <c:pt idx="3">
                  <c:v>Seguros y tributos</c:v>
                </c:pt>
                <c:pt idx="4">
                  <c:v>Aprovisionamientos</c:v>
                </c:pt>
                <c:pt idx="5">
                  <c:v>Otros</c:v>
                </c:pt>
                <c:pt idx="6">
                  <c:v>Amortizaciones</c:v>
                </c:pt>
                <c:pt idx="7">
                  <c:v>TOTAL</c:v>
                </c:pt>
              </c:strCache>
            </c:strRef>
          </c:cat>
          <c:val>
            <c:numRef>
              <c:f>'COSTES FIJOS'!$C$7:$C$14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790E-4F31-B9F2-4180CAE49ADA}"/>
            </c:ext>
          </c:extLst>
        </c:ser>
        <c:ser>
          <c:idx val="1"/>
          <c:order val="1"/>
          <c:tx>
            <c:strRef>
              <c:f>'COSTES FIJOS'!$D$6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'COSTES FIJOS'!$B$7:$B$14</c:f>
              <c:strCache>
                <c:ptCount val="8"/>
                <c:pt idx="0">
                  <c:v>Gastos de personal</c:v>
                </c:pt>
                <c:pt idx="1">
                  <c:v>Alquileres</c:v>
                </c:pt>
                <c:pt idx="2">
                  <c:v>Gastos generales</c:v>
                </c:pt>
                <c:pt idx="3">
                  <c:v>Seguros y tributos</c:v>
                </c:pt>
                <c:pt idx="4">
                  <c:v>Aprovisionamientos</c:v>
                </c:pt>
                <c:pt idx="5">
                  <c:v>Otros</c:v>
                </c:pt>
                <c:pt idx="6">
                  <c:v>Amortizaciones</c:v>
                </c:pt>
                <c:pt idx="7">
                  <c:v>TOTAL</c:v>
                </c:pt>
              </c:strCache>
            </c:strRef>
          </c:cat>
          <c:val>
            <c:numRef>
              <c:f>'COSTES FIJOS'!$D$7:$D$14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90E-4F31-B9F2-4180CAE49ADA}"/>
            </c:ext>
          </c:extLst>
        </c:ser>
        <c:ser>
          <c:idx val="2"/>
          <c:order val="2"/>
          <c:tx>
            <c:strRef>
              <c:f>'COSTES FIJOS'!$E$6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'COSTES FIJOS'!$B$7:$B$14</c:f>
              <c:strCache>
                <c:ptCount val="8"/>
                <c:pt idx="0">
                  <c:v>Gastos de personal</c:v>
                </c:pt>
                <c:pt idx="1">
                  <c:v>Alquileres</c:v>
                </c:pt>
                <c:pt idx="2">
                  <c:v>Gastos generales</c:v>
                </c:pt>
                <c:pt idx="3">
                  <c:v>Seguros y tributos</c:v>
                </c:pt>
                <c:pt idx="4">
                  <c:v>Aprovisionamientos</c:v>
                </c:pt>
                <c:pt idx="5">
                  <c:v>Otros</c:v>
                </c:pt>
                <c:pt idx="6">
                  <c:v>Amortizaciones</c:v>
                </c:pt>
                <c:pt idx="7">
                  <c:v>TOTAL</c:v>
                </c:pt>
              </c:strCache>
            </c:strRef>
          </c:cat>
          <c:val>
            <c:numRef>
              <c:f>'COSTES FIJOS'!$E$7:$E$14</c:f>
              <c:numCache>
                <c:formatCode>General</c:formatCode>
                <c:ptCount val="8"/>
                <c:pt idx="0">
                  <c:v>33537.65</c:v>
                </c:pt>
                <c:pt idx="1">
                  <c:v>6000</c:v>
                </c:pt>
                <c:pt idx="2">
                  <c:v>9400</c:v>
                </c:pt>
                <c:pt idx="3">
                  <c:v>350</c:v>
                </c:pt>
                <c:pt idx="4">
                  <c:v>6100</c:v>
                </c:pt>
                <c:pt idx="5">
                  <c:v>14000</c:v>
                </c:pt>
                <c:pt idx="6">
                  <c:v>13421</c:v>
                </c:pt>
                <c:pt idx="7">
                  <c:v>82808.649999999994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E-4F31-B9F2-4180CAE49ADA}"/>
            </c:ext>
          </c:extLst>
        </c:ser>
        <c:ser>
          <c:idx val="3"/>
          <c:order val="3"/>
          <c:tx>
            <c:strRef>
              <c:f>'COSTES FIJOS'!$F$6</c:f>
              <c:strCache>
                <c:ptCount val="1"/>
                <c:pt idx="0">
                  <c:v>AÑO 2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'COSTES FIJOS'!$B$7:$B$14</c:f>
              <c:strCache>
                <c:ptCount val="8"/>
                <c:pt idx="0">
                  <c:v>Gastos de personal</c:v>
                </c:pt>
                <c:pt idx="1">
                  <c:v>Alquileres</c:v>
                </c:pt>
                <c:pt idx="2">
                  <c:v>Gastos generales</c:v>
                </c:pt>
                <c:pt idx="3">
                  <c:v>Seguros y tributos</c:v>
                </c:pt>
                <c:pt idx="4">
                  <c:v>Aprovisionamientos</c:v>
                </c:pt>
                <c:pt idx="5">
                  <c:v>Otros</c:v>
                </c:pt>
                <c:pt idx="6">
                  <c:v>Amortizaciones</c:v>
                </c:pt>
                <c:pt idx="7">
                  <c:v>TOTAL</c:v>
                </c:pt>
              </c:strCache>
            </c:strRef>
          </c:cat>
          <c:val>
            <c:numRef>
              <c:f>'COSTES FIJOS'!$F$7:$F$14</c:f>
              <c:numCache>
                <c:formatCode>General</c:formatCode>
                <c:ptCount val="8"/>
                <c:pt idx="0">
                  <c:v>36138.980000000003</c:v>
                </c:pt>
                <c:pt idx="1">
                  <c:v>6240</c:v>
                </c:pt>
                <c:pt idx="2">
                  <c:v>10340</c:v>
                </c:pt>
                <c:pt idx="3">
                  <c:v>368</c:v>
                </c:pt>
                <c:pt idx="4">
                  <c:v>6405</c:v>
                </c:pt>
                <c:pt idx="5">
                  <c:v>1540</c:v>
                </c:pt>
                <c:pt idx="6">
                  <c:v>13421</c:v>
                </c:pt>
                <c:pt idx="7">
                  <c:v>74452.98000000001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E-4F31-B9F2-4180CAE49ADA}"/>
            </c:ext>
          </c:extLst>
        </c:ser>
        <c:ser>
          <c:idx val="4"/>
          <c:order val="4"/>
          <c:tx>
            <c:strRef>
              <c:f>'COSTES FIJOS'!$G$6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'COSTES FIJOS'!$B$7:$B$14</c:f>
              <c:strCache>
                <c:ptCount val="8"/>
                <c:pt idx="0">
                  <c:v>Gastos de personal</c:v>
                </c:pt>
                <c:pt idx="1">
                  <c:v>Alquileres</c:v>
                </c:pt>
                <c:pt idx="2">
                  <c:v>Gastos generales</c:v>
                </c:pt>
                <c:pt idx="3">
                  <c:v>Seguros y tributos</c:v>
                </c:pt>
                <c:pt idx="4">
                  <c:v>Aprovisionamientos</c:v>
                </c:pt>
                <c:pt idx="5">
                  <c:v>Otros</c:v>
                </c:pt>
                <c:pt idx="6">
                  <c:v>Amortizaciones</c:v>
                </c:pt>
                <c:pt idx="7">
                  <c:v>TOTAL</c:v>
                </c:pt>
              </c:strCache>
            </c:strRef>
          </c:cat>
          <c:val>
            <c:numRef>
              <c:f>'COSTES FIJOS'!$G$7:$G$14</c:f>
              <c:numCache>
                <c:formatCode>General</c:formatCode>
                <c:ptCount val="8"/>
                <c:pt idx="0">
                  <c:v>38997.61</c:v>
                </c:pt>
                <c:pt idx="1">
                  <c:v>6490</c:v>
                </c:pt>
                <c:pt idx="2">
                  <c:v>11374</c:v>
                </c:pt>
                <c:pt idx="3">
                  <c:v>386</c:v>
                </c:pt>
                <c:pt idx="4">
                  <c:v>6725</c:v>
                </c:pt>
                <c:pt idx="5">
                  <c:v>1694</c:v>
                </c:pt>
                <c:pt idx="6">
                  <c:v>13259</c:v>
                </c:pt>
                <c:pt idx="7">
                  <c:v>78925.61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E-4F31-B9F2-4180CAE49ADA}"/>
            </c:ext>
          </c:extLst>
        </c:ser>
        <c:ser>
          <c:idx val="5"/>
          <c:order val="5"/>
          <c:tx>
            <c:strRef>
              <c:f>'COSTES FIJOS'!$H$6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'COSTES FIJOS'!$B$7:$B$14</c:f>
              <c:strCache>
                <c:ptCount val="8"/>
                <c:pt idx="0">
                  <c:v>Gastos de personal</c:v>
                </c:pt>
                <c:pt idx="1">
                  <c:v>Alquileres</c:v>
                </c:pt>
                <c:pt idx="2">
                  <c:v>Gastos generales</c:v>
                </c:pt>
                <c:pt idx="3">
                  <c:v>Seguros y tributos</c:v>
                </c:pt>
                <c:pt idx="4">
                  <c:v>Aprovisionamientos</c:v>
                </c:pt>
                <c:pt idx="5">
                  <c:v>Otros</c:v>
                </c:pt>
                <c:pt idx="6">
                  <c:v>Amortizaciones</c:v>
                </c:pt>
                <c:pt idx="7">
                  <c:v>TOTAL</c:v>
                </c:pt>
              </c:strCache>
            </c:strRef>
          </c:cat>
          <c:val>
            <c:numRef>
              <c:f>'COSTES FIJOS'!$H$7:$H$14</c:f>
              <c:numCache>
                <c:formatCode>General</c:formatCode>
                <c:ptCount val="8"/>
                <c:pt idx="0">
                  <c:v>41648.26</c:v>
                </c:pt>
                <c:pt idx="1">
                  <c:v>6750</c:v>
                </c:pt>
                <c:pt idx="2">
                  <c:v>12511</c:v>
                </c:pt>
                <c:pt idx="3">
                  <c:v>405</c:v>
                </c:pt>
                <c:pt idx="4">
                  <c:v>7061</c:v>
                </c:pt>
                <c:pt idx="5">
                  <c:v>1863</c:v>
                </c:pt>
                <c:pt idx="6">
                  <c:v>15108</c:v>
                </c:pt>
                <c:pt idx="7">
                  <c:v>85346.260000000009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0E-4F31-B9F2-4180CAE49ADA}"/>
            </c:ext>
          </c:extLst>
        </c:ser>
        <c:ser>
          <c:idx val="6"/>
          <c:order val="6"/>
          <c:tx>
            <c:strRef>
              <c:f>'COSTES FIJOS'!$I$6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'COSTES FIJOS'!$B$7:$B$14</c:f>
              <c:strCache>
                <c:ptCount val="8"/>
                <c:pt idx="0">
                  <c:v>Gastos de personal</c:v>
                </c:pt>
                <c:pt idx="1">
                  <c:v>Alquileres</c:v>
                </c:pt>
                <c:pt idx="2">
                  <c:v>Gastos generales</c:v>
                </c:pt>
                <c:pt idx="3">
                  <c:v>Seguros y tributos</c:v>
                </c:pt>
                <c:pt idx="4">
                  <c:v>Aprovisionamientos</c:v>
                </c:pt>
                <c:pt idx="5">
                  <c:v>Otros</c:v>
                </c:pt>
                <c:pt idx="6">
                  <c:v>Amortizaciones</c:v>
                </c:pt>
                <c:pt idx="7">
                  <c:v>TOTAL</c:v>
                </c:pt>
              </c:strCache>
            </c:strRef>
          </c:cat>
          <c:val>
            <c:numRef>
              <c:f>'COSTES FIJOS'!$I$7:$I$14</c:f>
              <c:numCache>
                <c:formatCode>General</c:formatCode>
                <c:ptCount val="8"/>
                <c:pt idx="0">
                  <c:v>44497.62</c:v>
                </c:pt>
                <c:pt idx="1">
                  <c:v>7020</c:v>
                </c:pt>
                <c:pt idx="2">
                  <c:v>13762</c:v>
                </c:pt>
                <c:pt idx="3">
                  <c:v>425</c:v>
                </c:pt>
                <c:pt idx="4">
                  <c:v>7414</c:v>
                </c:pt>
                <c:pt idx="5">
                  <c:v>2049</c:v>
                </c:pt>
                <c:pt idx="6">
                  <c:v>15108</c:v>
                </c:pt>
                <c:pt idx="7">
                  <c:v>90275.62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E-4F31-B9F2-4180CAE4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106656"/>
        <c:axId val="1828299680"/>
      </c:barChart>
      <c:catAx>
        <c:axId val="18331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8299680"/>
        <c:crosses val="autoZero"/>
        <c:auto val="1"/>
        <c:lblAlgn val="ctr"/>
        <c:lblOffset val="100"/>
        <c:noMultiLvlLbl val="0"/>
      </c:catAx>
      <c:valAx>
        <c:axId val="182829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310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BENEFICIOS ACUMULADOS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BENEFICIOS!$C$37</c:f>
              <c:strCache>
                <c:ptCount val="1"/>
                <c:pt idx="0">
                  <c:v>BENEFICIOS ACUMULADOS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BENEFICIOS!$D$37:$J$37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A823-4AE8-B99C-E4923A208DED}"/>
            </c:ext>
          </c:extLst>
        </c:ser>
        <c:ser>
          <c:idx val="1"/>
          <c:order val="1"/>
          <c:tx>
            <c:strRef>
              <c:f>BENEFICIOS!$C$38</c:f>
              <c:strCache>
                <c:ptCount val="1"/>
                <c:pt idx="0">
                  <c:v>ESCENARIO 1 (1+4)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BENEFICIOS!$D$38:$J$38</c:f>
              <c:numCache>
                <c:formatCode>General</c:formatCode>
                <c:ptCount val="7"/>
                <c:pt idx="2">
                  <c:v>4273.0800000000045</c:v>
                </c:pt>
                <c:pt idx="3">
                  <c:v>23834.135999999999</c:v>
                </c:pt>
                <c:pt idx="4">
                  <c:v>47452.499960000001</c:v>
                </c:pt>
                <c:pt idx="5">
                  <c:v>74440.845129360008</c:v>
                </c:pt>
                <c:pt idx="6">
                  <c:v>105274.54717792793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3-4AE8-B99C-E4923A208DED}"/>
            </c:ext>
          </c:extLst>
        </c:ser>
        <c:ser>
          <c:idx val="2"/>
          <c:order val="2"/>
          <c:tx>
            <c:strRef>
              <c:f>BENEFICIOS!$C$39</c:f>
              <c:strCache>
                <c:ptCount val="1"/>
                <c:pt idx="0">
                  <c:v>ESCENARIO 2 (2+3)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BENEFICIOS!$D$39:$J$39</c:f>
              <c:numCache>
                <c:formatCode>General</c:formatCode>
                <c:ptCount val="7"/>
                <c:pt idx="2">
                  <c:v>-10206.919999999995</c:v>
                </c:pt>
                <c:pt idx="3">
                  <c:v>-7252.2800000000097</c:v>
                </c:pt>
                <c:pt idx="4">
                  <c:v>-2239.2685536000172</c:v>
                </c:pt>
                <c:pt idx="5">
                  <c:v>5525.3650938342271</c:v>
                </c:pt>
                <c:pt idx="6">
                  <c:v>16214.603420106387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3-4AE8-B99C-E4923A208DED}"/>
            </c:ext>
          </c:extLst>
        </c:ser>
        <c:ser>
          <c:idx val="3"/>
          <c:order val="3"/>
          <c:tx>
            <c:strRef>
              <c:f>BENEFICIOS!$C$40</c:f>
              <c:strCache>
                <c:ptCount val="1"/>
                <c:pt idx="0">
                  <c:v>ESCENARIO 3 (1+2+3+4)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BENEFICIOS!$D$40:$J$40</c:f>
              <c:numCache>
                <c:formatCode>General</c:formatCode>
                <c:ptCount val="7"/>
                <c:pt idx="2">
                  <c:v>60313.08</c:v>
                </c:pt>
                <c:pt idx="3">
                  <c:v>142391.15999999997</c:v>
                </c:pt>
                <c:pt idx="4">
                  <c:v>234163.0234064</c:v>
                </c:pt>
                <c:pt idx="5">
                  <c:v>337193.0102231942</c:v>
                </c:pt>
                <c:pt idx="6">
                  <c:v>450936.44659803429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23-4AE8-B99C-E4923A208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352192"/>
        <c:axId val="1828286368"/>
      </c:barChart>
      <c:catAx>
        <c:axId val="1733352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8286368"/>
        <c:crosses val="autoZero"/>
        <c:auto val="1"/>
        <c:lblAlgn val="ctr"/>
        <c:lblOffset val="100"/>
        <c:noMultiLvlLbl val="0"/>
      </c:catAx>
      <c:valAx>
        <c:axId val="18282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335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17</xdr:col>
      <xdr:colOff>609600</xdr:colOff>
      <xdr:row>25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8CE9E3-9714-4FF6-9EEF-B26D6E8FB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10</xdr:col>
      <xdr:colOff>485775</xdr:colOff>
      <xdr:row>29</xdr:row>
      <xdr:rowOff>61913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30FE4C-94EC-4668-AE4A-570862BCE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4</xdr:row>
      <xdr:rowOff>0</xdr:rowOff>
    </xdr:from>
    <xdr:to>
      <xdr:col>13</xdr:col>
      <xdr:colOff>85724</xdr:colOff>
      <xdr:row>28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F2561B-E486-4657-8957-F2404F45F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152400</xdr:rowOff>
    </xdr:from>
    <xdr:to>
      <xdr:col>12</xdr:col>
      <xdr:colOff>0</xdr:colOff>
      <xdr:row>27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BC728C-EE4D-4D41-A5CD-67C464C6C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13</xdr:col>
      <xdr:colOff>171450</xdr:colOff>
      <xdr:row>32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EE7F52-329F-4595-A4E7-F31293869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4</xdr:row>
      <xdr:rowOff>0</xdr:rowOff>
    </xdr:from>
    <xdr:to>
      <xdr:col>13</xdr:col>
      <xdr:colOff>471488</xdr:colOff>
      <xdr:row>33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A56E04-91D1-4C73-98CD-BF2D28ABC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7910-A5B9-4DC6-9781-64D99FA28BA6}">
  <dimension ref="B3:K63"/>
  <sheetViews>
    <sheetView tabSelected="1" zoomScale="80" zoomScaleNormal="80" workbookViewId="0">
      <selection activeCell="L31" sqref="L31"/>
    </sheetView>
  </sheetViews>
  <sheetFormatPr baseColWidth="10" defaultRowHeight="15" x14ac:dyDescent="0.25"/>
  <cols>
    <col min="5" max="5" width="11.85546875" bestFit="1" customWidth="1"/>
    <col min="7" max="7" width="12" customWidth="1"/>
    <col min="8" max="8" width="12.7109375" customWidth="1"/>
    <col min="9" max="9" width="12.28515625" customWidth="1"/>
    <col min="10" max="10" width="14.85546875" customWidth="1"/>
    <col min="11" max="11" width="12.140625" customWidth="1"/>
    <col min="12" max="12" width="35" customWidth="1"/>
    <col min="13" max="13" width="17.140625" customWidth="1"/>
    <col min="14" max="14" width="19.140625" customWidth="1"/>
    <col min="15" max="15" width="18" customWidth="1"/>
    <col min="16" max="16" width="21" customWidth="1"/>
    <col min="17" max="17" width="17.7109375" customWidth="1"/>
    <col min="18" max="18" width="21.140625" customWidth="1"/>
    <col min="19" max="19" width="22" customWidth="1"/>
    <col min="20" max="20" width="22.5703125" customWidth="1"/>
    <col min="21" max="21" width="18.42578125" customWidth="1"/>
    <col min="22" max="22" width="23" customWidth="1"/>
  </cols>
  <sheetData>
    <row r="3" spans="2:11" x14ac:dyDescent="0.25">
      <c r="B3" s="34" t="s">
        <v>0</v>
      </c>
      <c r="C3" s="34"/>
      <c r="D3" s="34"/>
      <c r="E3" s="34"/>
      <c r="F3" s="34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</row>
    <row r="4" spans="2:11" x14ac:dyDescent="0.25">
      <c r="B4" s="35" t="s">
        <v>6</v>
      </c>
      <c r="C4" s="35"/>
      <c r="D4" s="35"/>
      <c r="E4" s="35"/>
      <c r="F4" s="35"/>
      <c r="G4" s="35"/>
      <c r="H4" s="35"/>
      <c r="I4" s="35"/>
      <c r="J4" s="35"/>
      <c r="K4" s="35"/>
    </row>
    <row r="5" spans="2:11" x14ac:dyDescent="0.25">
      <c r="B5" s="29" t="s">
        <v>7</v>
      </c>
      <c r="C5" s="29"/>
      <c r="D5" s="29"/>
      <c r="E5" s="29"/>
      <c r="F5" s="29"/>
      <c r="G5" s="4">
        <v>1500</v>
      </c>
      <c r="H5" s="4"/>
      <c r="I5" s="4"/>
      <c r="J5" s="4"/>
      <c r="K5" s="4"/>
    </row>
    <row r="6" spans="2:11" x14ac:dyDescent="0.25">
      <c r="B6" s="29" t="s">
        <v>8</v>
      </c>
      <c r="C6" s="29"/>
      <c r="D6" s="29"/>
      <c r="E6" s="29"/>
      <c r="F6" s="29"/>
      <c r="G6" s="4">
        <v>2500</v>
      </c>
      <c r="H6" s="4"/>
      <c r="I6" s="4"/>
      <c r="J6" s="4"/>
      <c r="K6" s="4"/>
    </row>
    <row r="7" spans="2:11" x14ac:dyDescent="0.25">
      <c r="B7" s="33" t="s">
        <v>9</v>
      </c>
      <c r="C7" s="33"/>
      <c r="D7" s="33"/>
      <c r="E7" s="33"/>
      <c r="F7" s="33"/>
      <c r="G7" s="5">
        <f>SUM(G5,G6)</f>
        <v>4000</v>
      </c>
      <c r="H7" s="5">
        <f>SUM(H5,H6)</f>
        <v>0</v>
      </c>
      <c r="I7" s="5">
        <f>SUM(I5,I6)</f>
        <v>0</v>
      </c>
      <c r="J7" s="5">
        <f>SUM(J5,J6)</f>
        <v>0</v>
      </c>
      <c r="K7" s="5">
        <f>SUM(K5,K6)</f>
        <v>0</v>
      </c>
    </row>
    <row r="8" spans="2:11" x14ac:dyDescent="0.25"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2:11" x14ac:dyDescent="0.25">
      <c r="B9" s="35" t="s">
        <v>10</v>
      </c>
      <c r="C9" s="35"/>
      <c r="D9" s="35"/>
      <c r="E9" s="35"/>
      <c r="F9" s="35"/>
      <c r="G9" s="35"/>
      <c r="H9" s="35"/>
      <c r="I9" s="35"/>
      <c r="J9" s="35"/>
      <c r="K9" s="35"/>
    </row>
    <row r="10" spans="2:11" x14ac:dyDescent="0.25">
      <c r="B10" s="29" t="s">
        <v>11</v>
      </c>
      <c r="C10" s="29"/>
      <c r="D10" s="29"/>
      <c r="E10" s="29"/>
      <c r="F10" s="29"/>
      <c r="G10" s="4">
        <v>2700</v>
      </c>
      <c r="H10" s="4"/>
      <c r="I10" s="4">
        <v>3600</v>
      </c>
      <c r="J10" s="4"/>
      <c r="K10" s="4"/>
    </row>
    <row r="11" spans="2:11" x14ac:dyDescent="0.25">
      <c r="B11" s="33" t="s">
        <v>12</v>
      </c>
      <c r="C11" s="33"/>
      <c r="D11" s="33"/>
      <c r="E11" s="33"/>
      <c r="F11" s="33"/>
      <c r="G11" s="5">
        <f>SUM(G10)</f>
        <v>2700</v>
      </c>
      <c r="H11" s="5">
        <f>SUM(H10)</f>
        <v>0</v>
      </c>
      <c r="I11" s="5">
        <f>SUM(I10)</f>
        <v>3600</v>
      </c>
      <c r="J11" s="5">
        <f>SUM(J10)</f>
        <v>0</v>
      </c>
      <c r="K11" s="5">
        <f>SUM(K10)</f>
        <v>0</v>
      </c>
    </row>
    <row r="12" spans="2:11" x14ac:dyDescent="0.25"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2:11" x14ac:dyDescent="0.25">
      <c r="B13" s="35" t="s">
        <v>13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2:11" x14ac:dyDescent="0.25">
      <c r="B14" s="29" t="s">
        <v>14</v>
      </c>
      <c r="C14" s="29"/>
      <c r="D14" s="29"/>
      <c r="E14" s="29"/>
      <c r="F14" s="29"/>
      <c r="G14" s="4">
        <v>3000</v>
      </c>
      <c r="H14" s="4"/>
      <c r="I14" s="4"/>
      <c r="J14" s="4"/>
      <c r="K14" s="4"/>
    </row>
    <row r="15" spans="2:11" x14ac:dyDescent="0.25">
      <c r="B15" s="29" t="s">
        <v>15</v>
      </c>
      <c r="C15" s="29"/>
      <c r="D15" s="29"/>
      <c r="E15" s="29"/>
      <c r="F15" s="29"/>
      <c r="G15" s="4">
        <v>3600</v>
      </c>
      <c r="H15" s="4"/>
      <c r="I15" s="4"/>
      <c r="J15" s="4"/>
      <c r="K15" s="4"/>
    </row>
    <row r="16" spans="2:11" x14ac:dyDescent="0.25">
      <c r="B16" s="29" t="s">
        <v>16</v>
      </c>
      <c r="C16" s="29"/>
      <c r="D16" s="29"/>
      <c r="E16" s="29"/>
      <c r="F16" s="29"/>
      <c r="G16" s="4">
        <v>3000</v>
      </c>
      <c r="H16" s="4"/>
      <c r="I16" s="4"/>
      <c r="J16" s="4"/>
      <c r="K16" s="4"/>
    </row>
    <row r="17" spans="2:11" x14ac:dyDescent="0.25">
      <c r="B17" s="30" t="s">
        <v>70</v>
      </c>
      <c r="C17" s="31"/>
      <c r="D17" s="31"/>
      <c r="E17" s="31"/>
      <c r="F17" s="32"/>
      <c r="G17" s="4">
        <v>6200</v>
      </c>
      <c r="H17" s="4"/>
      <c r="I17" s="4"/>
      <c r="J17" s="4">
        <v>5000</v>
      </c>
      <c r="K17" s="4"/>
    </row>
    <row r="18" spans="2:11" x14ac:dyDescent="0.25">
      <c r="B18" s="29" t="s">
        <v>71</v>
      </c>
      <c r="C18" s="29"/>
      <c r="D18" s="29"/>
      <c r="E18" s="29"/>
      <c r="F18" s="29"/>
      <c r="G18" s="4">
        <v>18500</v>
      </c>
      <c r="H18" s="4"/>
      <c r="I18" s="4"/>
      <c r="J18" s="4">
        <v>15000</v>
      </c>
      <c r="K18" s="4"/>
    </row>
    <row r="19" spans="2:11" x14ac:dyDescent="0.25">
      <c r="B19" s="29" t="s">
        <v>17</v>
      </c>
      <c r="C19" s="29"/>
      <c r="D19" s="29"/>
      <c r="E19" s="29"/>
      <c r="F19" s="29"/>
      <c r="G19" s="4">
        <v>9000</v>
      </c>
      <c r="H19" s="4"/>
      <c r="I19" s="4"/>
      <c r="J19" s="4"/>
      <c r="K19" s="4"/>
    </row>
    <row r="20" spans="2:11" x14ac:dyDescent="0.25">
      <c r="B20" s="33" t="s">
        <v>18</v>
      </c>
      <c r="C20" s="33"/>
      <c r="D20" s="33"/>
      <c r="E20" s="33"/>
      <c r="F20" s="33"/>
      <c r="G20" s="5">
        <f>SUM(G14:G19)</f>
        <v>43300</v>
      </c>
      <c r="H20" s="5">
        <f>SUM(H14:H19)</f>
        <v>0</v>
      </c>
      <c r="I20" s="5">
        <f>SUM(I14:I19)</f>
        <v>0</v>
      </c>
      <c r="J20" s="5">
        <f>SUM(J14:J19)</f>
        <v>20000</v>
      </c>
      <c r="K20" s="5">
        <f>SUM(K14:K19)</f>
        <v>0</v>
      </c>
    </row>
    <row r="21" spans="2:11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2:11" x14ac:dyDescent="0.25">
      <c r="B22" s="33" t="s">
        <v>19</v>
      </c>
      <c r="C22" s="33"/>
      <c r="D22" s="33"/>
      <c r="E22" s="33"/>
      <c r="F22" s="33"/>
      <c r="G22" s="3">
        <f>SUM(G7,G11,G20)</f>
        <v>50000</v>
      </c>
      <c r="H22" s="3">
        <f>SUM(H7,H11,H20)</f>
        <v>0</v>
      </c>
      <c r="I22" s="3">
        <f>SUM(I7,I11,I20)</f>
        <v>3600</v>
      </c>
      <c r="J22" s="3">
        <f>SUM(J7,J11,J20)</f>
        <v>20000</v>
      </c>
      <c r="K22" s="3">
        <f>SUM(K7,K11,K20)</f>
        <v>0</v>
      </c>
    </row>
    <row r="29" spans="2:11" ht="30" customHeight="1" x14ac:dyDescent="0.25">
      <c r="J29" s="20"/>
      <c r="K29" s="1"/>
    </row>
    <row r="30" spans="2:11" ht="33.75" customHeight="1" x14ac:dyDescent="0.25"/>
    <row r="31" spans="2:11" ht="18" customHeight="1" x14ac:dyDescent="0.25"/>
    <row r="32" spans="2:11" ht="33" customHeight="1" x14ac:dyDescent="0.25"/>
    <row r="33" spans="10:10" ht="21" customHeight="1" x14ac:dyDescent="0.25"/>
    <row r="34" spans="10:10" ht="36" customHeight="1" x14ac:dyDescent="0.25">
      <c r="J34" s="20"/>
    </row>
    <row r="35" spans="10:10" ht="30" customHeight="1" x14ac:dyDescent="0.25"/>
    <row r="36" spans="10:10" ht="30" customHeight="1" x14ac:dyDescent="0.25"/>
    <row r="37" spans="10:10" ht="18" customHeight="1" x14ac:dyDescent="0.25"/>
    <row r="38" spans="10:10" ht="17.25" customHeight="1" x14ac:dyDescent="0.25"/>
    <row r="39" spans="10:10" ht="18.75" customHeight="1" x14ac:dyDescent="0.25"/>
    <row r="40" spans="10:10" ht="39.75" customHeight="1" x14ac:dyDescent="0.25"/>
    <row r="41" spans="10:10" ht="30.75" customHeight="1" x14ac:dyDescent="0.25">
      <c r="J41" s="20"/>
    </row>
    <row r="46" spans="10:10" ht="28.5" customHeight="1" x14ac:dyDescent="0.25"/>
    <row r="47" spans="10:10" x14ac:dyDescent="0.25">
      <c r="J47" s="20"/>
    </row>
    <row r="49" spans="10:10" ht="33.75" customHeight="1" x14ac:dyDescent="0.25">
      <c r="J49" s="12"/>
    </row>
    <row r="51" spans="10:10" ht="33.75" customHeight="1" x14ac:dyDescent="0.25"/>
    <row r="54" spans="10:10" ht="15.75" customHeight="1" x14ac:dyDescent="0.25"/>
    <row r="55" spans="10:10" ht="32.25" customHeight="1" x14ac:dyDescent="0.25"/>
    <row r="56" spans="10:10" ht="29.25" customHeight="1" x14ac:dyDescent="0.25"/>
    <row r="63" spans="10:10" ht="20.25" customHeight="1" x14ac:dyDescent="0.25"/>
  </sheetData>
  <mergeCells count="20">
    <mergeCell ref="B19:F19"/>
    <mergeCell ref="B20:F20"/>
    <mergeCell ref="B21:K21"/>
    <mergeCell ref="B22:F22"/>
    <mergeCell ref="B12:K12"/>
    <mergeCell ref="B13:K13"/>
    <mergeCell ref="B10:F10"/>
    <mergeCell ref="B11:F11"/>
    <mergeCell ref="B3:F3"/>
    <mergeCell ref="B4:K4"/>
    <mergeCell ref="B5:F5"/>
    <mergeCell ref="B6:F6"/>
    <mergeCell ref="B7:F7"/>
    <mergeCell ref="B8:K8"/>
    <mergeCell ref="B9:K9"/>
    <mergeCell ref="B14:F14"/>
    <mergeCell ref="B15:F15"/>
    <mergeCell ref="B16:F16"/>
    <mergeCell ref="B18:F18"/>
    <mergeCell ref="B17:F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DA55-FA3E-40BB-80E5-59935F89B136}">
  <dimension ref="A1"/>
  <sheetViews>
    <sheetView workbookViewId="0">
      <selection activeCell="T17" sqref="T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242F-DAC5-40F2-B587-AAE021B24662}">
  <dimension ref="B5:I41"/>
  <sheetViews>
    <sheetView topLeftCell="A13" workbookViewId="0">
      <selection activeCell="V31" sqref="V31"/>
    </sheetView>
  </sheetViews>
  <sheetFormatPr baseColWidth="10" defaultRowHeight="15" x14ac:dyDescent="0.25"/>
  <sheetData>
    <row r="5" spans="2:9" ht="30" x14ac:dyDescent="0.25">
      <c r="B5" s="39" t="s">
        <v>20</v>
      </c>
      <c r="C5" s="43"/>
      <c r="D5" s="43"/>
      <c r="E5" s="43"/>
      <c r="F5" s="43"/>
      <c r="G5" s="7" t="s">
        <v>21</v>
      </c>
      <c r="H5" s="8" t="s">
        <v>22</v>
      </c>
      <c r="I5" s="8" t="s">
        <v>23</v>
      </c>
    </row>
    <row r="6" spans="2:9" x14ac:dyDescent="0.25">
      <c r="B6" s="37" t="s">
        <v>24</v>
      </c>
      <c r="C6" s="37"/>
      <c r="D6" s="37"/>
      <c r="E6" s="37"/>
      <c r="F6" s="37"/>
      <c r="G6" s="11">
        <v>2500</v>
      </c>
      <c r="H6" s="11">
        <v>10</v>
      </c>
      <c r="I6" s="11">
        <f>PRODUCT(G6,H6)</f>
        <v>25000</v>
      </c>
    </row>
    <row r="7" spans="2:9" x14ac:dyDescent="0.25">
      <c r="B7" s="38" t="s">
        <v>25</v>
      </c>
      <c r="C7" s="38"/>
      <c r="D7" s="38"/>
      <c r="E7" s="38"/>
      <c r="F7" s="38"/>
      <c r="G7" s="11">
        <v>2500</v>
      </c>
      <c r="H7" s="11">
        <v>8</v>
      </c>
      <c r="I7" s="11">
        <f>PRODUCT(G7,H7)</f>
        <v>20000</v>
      </c>
    </row>
    <row r="8" spans="2:9" x14ac:dyDescent="0.25">
      <c r="B8" s="37" t="s">
        <v>26</v>
      </c>
      <c r="C8" s="37"/>
      <c r="D8" s="37"/>
      <c r="E8" s="37"/>
      <c r="F8" s="37"/>
      <c r="G8" s="11">
        <v>2000</v>
      </c>
      <c r="H8" s="11">
        <v>12</v>
      </c>
      <c r="I8" s="11">
        <f>PRODUCT(G8,H8)</f>
        <v>24000</v>
      </c>
    </row>
    <row r="9" spans="2:9" x14ac:dyDescent="0.25">
      <c r="B9" s="36"/>
      <c r="C9" s="36"/>
      <c r="D9" s="36"/>
      <c r="E9" s="36"/>
      <c r="F9" s="36"/>
      <c r="G9" s="6"/>
      <c r="H9" s="10" t="s">
        <v>33</v>
      </c>
      <c r="I9" s="4">
        <f>SUM(I6,I7,I8)</f>
        <v>69000</v>
      </c>
    </row>
    <row r="10" spans="2:9" ht="30" x14ac:dyDescent="0.25">
      <c r="B10" s="39" t="s">
        <v>27</v>
      </c>
      <c r="C10" s="39"/>
      <c r="D10" s="39"/>
      <c r="E10" s="39"/>
      <c r="F10" s="39"/>
      <c r="G10" s="9" t="s">
        <v>21</v>
      </c>
      <c r="H10" s="9" t="s">
        <v>32</v>
      </c>
      <c r="I10" s="8" t="s">
        <v>23</v>
      </c>
    </row>
    <row r="11" spans="2:9" x14ac:dyDescent="0.25">
      <c r="B11" s="38" t="s">
        <v>28</v>
      </c>
      <c r="C11" s="38"/>
      <c r="D11" s="38"/>
      <c r="E11" s="38"/>
      <c r="F11" s="38"/>
      <c r="G11" s="11">
        <v>500</v>
      </c>
      <c r="H11" s="11">
        <v>20</v>
      </c>
      <c r="I11" s="11">
        <f>PRODUCT(G11,H11)</f>
        <v>10000</v>
      </c>
    </row>
    <row r="12" spans="2:9" x14ac:dyDescent="0.25">
      <c r="B12" s="38" t="s">
        <v>29</v>
      </c>
      <c r="C12" s="38"/>
      <c r="D12" s="38"/>
      <c r="E12" s="38"/>
      <c r="F12" s="38"/>
      <c r="G12" s="11">
        <v>750</v>
      </c>
      <c r="H12" s="11">
        <v>10</v>
      </c>
      <c r="I12" s="11">
        <f>PRODUCT(G12,H12)</f>
        <v>7500</v>
      </c>
    </row>
    <row r="13" spans="2:9" x14ac:dyDescent="0.25">
      <c r="B13" s="38" t="s">
        <v>30</v>
      </c>
      <c r="C13" s="38"/>
      <c r="D13" s="38"/>
      <c r="E13" s="38"/>
      <c r="F13" s="38"/>
      <c r="G13" s="11">
        <v>1000</v>
      </c>
      <c r="H13" s="11">
        <v>8</v>
      </c>
      <c r="I13" s="11">
        <f>PRODUCT(G13,H13)</f>
        <v>8000</v>
      </c>
    </row>
    <row r="14" spans="2:9" x14ac:dyDescent="0.25">
      <c r="B14" s="38" t="s">
        <v>31</v>
      </c>
      <c r="C14" s="38"/>
      <c r="D14" s="38"/>
      <c r="E14" s="38"/>
      <c r="F14" s="38"/>
      <c r="G14" s="11">
        <v>500</v>
      </c>
      <c r="H14" s="11">
        <v>12</v>
      </c>
      <c r="I14" s="11">
        <f>PRODUCT(G14,H14)</f>
        <v>6000</v>
      </c>
    </row>
    <row r="15" spans="2:9" x14ac:dyDescent="0.25">
      <c r="B15" s="36"/>
      <c r="C15" s="36"/>
      <c r="D15" s="36"/>
      <c r="E15" s="36"/>
      <c r="F15" s="36"/>
      <c r="G15" s="6"/>
      <c r="H15" s="10" t="s">
        <v>33</v>
      </c>
      <c r="I15" s="4">
        <f>SUM(I11,I12,I13,I14)</f>
        <v>31500</v>
      </c>
    </row>
    <row r="16" spans="2:9" ht="30" x14ac:dyDescent="0.25">
      <c r="B16" s="39" t="s">
        <v>34</v>
      </c>
      <c r="C16" s="39"/>
      <c r="D16" s="39"/>
      <c r="E16" s="39"/>
      <c r="F16" s="39"/>
      <c r="G16" s="9" t="s">
        <v>21</v>
      </c>
      <c r="H16" s="9" t="s">
        <v>32</v>
      </c>
      <c r="I16" s="8" t="s">
        <v>23</v>
      </c>
    </row>
    <row r="17" spans="2:9" x14ac:dyDescent="0.25">
      <c r="B17" s="38" t="s">
        <v>35</v>
      </c>
      <c r="C17" s="38"/>
      <c r="D17" s="38"/>
      <c r="E17" s="38"/>
      <c r="F17" s="38"/>
      <c r="G17" s="11">
        <v>1000</v>
      </c>
      <c r="H17" s="11">
        <v>12</v>
      </c>
      <c r="I17" s="11">
        <f>PRODUCT(G17,H17)</f>
        <v>12000</v>
      </c>
    </row>
    <row r="18" spans="2:9" x14ac:dyDescent="0.25">
      <c r="B18" s="38" t="s">
        <v>36</v>
      </c>
      <c r="C18" s="38"/>
      <c r="D18" s="38"/>
      <c r="E18" s="38"/>
      <c r="F18" s="38"/>
      <c r="G18" s="11">
        <v>1500</v>
      </c>
      <c r="H18" s="11">
        <v>8</v>
      </c>
      <c r="I18" s="11">
        <f>PRODUCT(G18,H18)</f>
        <v>12000</v>
      </c>
    </row>
    <row r="19" spans="2:9" x14ac:dyDescent="0.25">
      <c r="B19" s="38" t="s">
        <v>37</v>
      </c>
      <c r="C19" s="38"/>
      <c r="D19" s="38"/>
      <c r="E19" s="38"/>
      <c r="F19" s="38"/>
      <c r="G19" s="11">
        <v>1000</v>
      </c>
      <c r="H19" s="11">
        <v>20</v>
      </c>
      <c r="I19" s="11">
        <f>PRODUCT(G19,H19)</f>
        <v>20000</v>
      </c>
    </row>
    <row r="20" spans="2:9" x14ac:dyDescent="0.25">
      <c r="B20" s="38" t="s">
        <v>38</v>
      </c>
      <c r="C20" s="38"/>
      <c r="D20" s="38"/>
      <c r="E20" s="38"/>
      <c r="F20" s="38"/>
      <c r="G20" s="11">
        <v>2000</v>
      </c>
      <c r="H20" s="11">
        <v>10</v>
      </c>
      <c r="I20" s="11">
        <f>PRODUCT(G20,H20)</f>
        <v>20000</v>
      </c>
    </row>
    <row r="21" spans="2:9" x14ac:dyDescent="0.25">
      <c r="B21" s="36"/>
      <c r="C21" s="36"/>
      <c r="D21" s="36"/>
      <c r="E21" s="36"/>
      <c r="F21" s="36"/>
      <c r="G21" s="6"/>
      <c r="H21" s="10" t="s">
        <v>33</v>
      </c>
      <c r="I21" s="4">
        <f>SUM(I17,I18,I19,I20)</f>
        <v>64000</v>
      </c>
    </row>
    <row r="22" spans="2:9" ht="30" x14ac:dyDescent="0.25">
      <c r="B22" s="39" t="s">
        <v>41</v>
      </c>
      <c r="C22" s="39"/>
      <c r="D22" s="39"/>
      <c r="E22" s="39"/>
      <c r="F22" s="39"/>
      <c r="G22" s="9" t="s">
        <v>21</v>
      </c>
      <c r="H22" s="9" t="s">
        <v>32</v>
      </c>
      <c r="I22" s="8" t="s">
        <v>23</v>
      </c>
    </row>
    <row r="23" spans="2:9" x14ac:dyDescent="0.25">
      <c r="B23" s="37" t="s">
        <v>39</v>
      </c>
      <c r="C23" s="37"/>
      <c r="D23" s="37"/>
      <c r="E23" s="37"/>
      <c r="F23" s="37"/>
      <c r="G23" s="11">
        <v>10000</v>
      </c>
      <c r="H23" s="11">
        <v>4</v>
      </c>
      <c r="I23" s="11">
        <f>PRODUCT(G23,H23)</f>
        <v>40000</v>
      </c>
    </row>
    <row r="24" spans="2:9" x14ac:dyDescent="0.25">
      <c r="B24" s="38" t="s">
        <v>40</v>
      </c>
      <c r="C24" s="38"/>
      <c r="D24" s="38"/>
      <c r="E24" s="38"/>
      <c r="F24" s="38"/>
      <c r="G24" s="11">
        <v>3000</v>
      </c>
      <c r="H24" s="11">
        <v>4</v>
      </c>
      <c r="I24" s="11">
        <f>PRODUCT(G24,H24)</f>
        <v>12000</v>
      </c>
    </row>
    <row r="25" spans="2:9" x14ac:dyDescent="0.25">
      <c r="B25" s="36"/>
      <c r="C25" s="36"/>
      <c r="D25" s="36"/>
      <c r="E25" s="36"/>
      <c r="F25" s="36"/>
      <c r="G25" s="6"/>
      <c r="H25" s="10" t="s">
        <v>33</v>
      </c>
      <c r="I25" s="4">
        <f>SUM(I23,I24)</f>
        <v>52000</v>
      </c>
    </row>
    <row r="26" spans="2:9" x14ac:dyDescent="0.25">
      <c r="B26" s="39" t="s">
        <v>33</v>
      </c>
      <c r="C26" s="39"/>
      <c r="D26" s="39"/>
      <c r="E26" s="39"/>
      <c r="F26" s="39"/>
      <c r="G26" s="39"/>
      <c r="H26" s="39"/>
      <c r="I26" s="13">
        <f>SUM(I25,I21,I15,I9)</f>
        <v>216500</v>
      </c>
    </row>
    <row r="30" spans="2:9" x14ac:dyDescent="0.25">
      <c r="B30" s="40" t="s">
        <v>42</v>
      </c>
      <c r="C30" s="41"/>
      <c r="D30" s="42"/>
      <c r="E30" s="14" t="s">
        <v>1</v>
      </c>
      <c r="F30" s="14" t="s">
        <v>2</v>
      </c>
      <c r="G30" s="14" t="s">
        <v>3</v>
      </c>
      <c r="H30" s="14" t="s">
        <v>4</v>
      </c>
      <c r="I30" s="14" t="s">
        <v>5</v>
      </c>
    </row>
    <row r="31" spans="2:9" x14ac:dyDescent="0.25">
      <c r="B31" s="44" t="s">
        <v>43</v>
      </c>
      <c r="C31" s="45"/>
      <c r="D31" s="46"/>
      <c r="E31" s="6">
        <f>I9</f>
        <v>69000</v>
      </c>
      <c r="F31" s="6">
        <f>E31*1.1*1.02</f>
        <v>77418</v>
      </c>
      <c r="G31" s="6">
        <f>F31*1.075*1.02</f>
        <v>84888.837</v>
      </c>
      <c r="H31" s="6">
        <f>G31*1.06*1.02</f>
        <v>91781.810564400002</v>
      </c>
      <c r="I31" s="6">
        <f>H31*1.05*1.02</f>
        <v>98298.319114472411</v>
      </c>
    </row>
    <row r="32" spans="2:9" x14ac:dyDescent="0.25">
      <c r="B32" s="44" t="s">
        <v>27</v>
      </c>
      <c r="C32" s="45"/>
      <c r="D32" s="46"/>
      <c r="E32" s="6">
        <f>I15</f>
        <v>31500</v>
      </c>
      <c r="F32" s="6">
        <f>E32*1.08*1.02</f>
        <v>34700.400000000001</v>
      </c>
      <c r="G32" s="6">
        <f>F32*1.055*1.02</f>
        <v>37341.100440000002</v>
      </c>
      <c r="H32" s="6">
        <f>G32*1.08*1.02</f>
        <v>41134.956244704001</v>
      </c>
      <c r="I32" s="6">
        <f>H32*1.055*1.02</f>
        <v>44265.32641492597</v>
      </c>
    </row>
    <row r="33" spans="2:9" x14ac:dyDescent="0.25">
      <c r="B33" s="44" t="s">
        <v>34</v>
      </c>
      <c r="C33" s="45"/>
      <c r="D33" s="46"/>
      <c r="E33" s="6">
        <f>I21</f>
        <v>64000</v>
      </c>
      <c r="F33" s="6">
        <f>E33*1.1*1.02</f>
        <v>71808</v>
      </c>
      <c r="G33" s="6">
        <f>F33*1.075*1.02</f>
        <v>78737.471999999994</v>
      </c>
      <c r="H33" s="6">
        <f>G33*1.1*1.02</f>
        <v>88343.443584000008</v>
      </c>
      <c r="I33" s="6">
        <f>H33*1.075*1.02</f>
        <v>96868.585889856011</v>
      </c>
    </row>
    <row r="34" spans="2:9" x14ac:dyDescent="0.25">
      <c r="B34" s="44" t="s">
        <v>44</v>
      </c>
      <c r="C34" s="45"/>
      <c r="D34" s="46"/>
      <c r="E34" s="6">
        <f>I25</f>
        <v>52000</v>
      </c>
      <c r="F34" s="6">
        <f>E34*1.1*1.02</f>
        <v>58344.000000000007</v>
      </c>
      <c r="G34" s="6">
        <f>F34*1.075*1.02</f>
        <v>63974.196000000004</v>
      </c>
      <c r="H34" s="6">
        <f>G34*1.1*1.02</f>
        <v>71779.047912000009</v>
      </c>
      <c r="I34" s="6">
        <f>H34*1.075*1.02</f>
        <v>78705.726035508007</v>
      </c>
    </row>
    <row r="38" spans="2:9" x14ac:dyDescent="0.25">
      <c r="B38" s="40" t="s">
        <v>42</v>
      </c>
      <c r="C38" s="41"/>
      <c r="D38" s="42"/>
      <c r="E38" s="14" t="s">
        <v>1</v>
      </c>
      <c r="F38" s="14" t="s">
        <v>2</v>
      </c>
      <c r="G38" s="14" t="s">
        <v>3</v>
      </c>
      <c r="H38" s="14" t="s">
        <v>4</v>
      </c>
      <c r="I38" s="14" t="s">
        <v>5</v>
      </c>
    </row>
    <row r="39" spans="2:9" x14ac:dyDescent="0.25">
      <c r="B39" s="47" t="s">
        <v>45</v>
      </c>
      <c r="C39" s="48"/>
      <c r="D39" s="49"/>
      <c r="E39" s="6">
        <f>E31+E34</f>
        <v>121000</v>
      </c>
      <c r="F39" s="6">
        <f>F31+F34</f>
        <v>135762</v>
      </c>
      <c r="G39" s="6">
        <f>G31+G34</f>
        <v>148863.033</v>
      </c>
      <c r="H39" s="6">
        <f>H31+H34</f>
        <v>163560.85847640003</v>
      </c>
      <c r="I39" s="6">
        <f>I31+I34</f>
        <v>177004.0451499804</v>
      </c>
    </row>
    <row r="40" spans="2:9" x14ac:dyDescent="0.25">
      <c r="B40" s="47" t="s">
        <v>46</v>
      </c>
      <c r="C40" s="48"/>
      <c r="D40" s="49"/>
      <c r="E40" s="6">
        <f>E32+E33</f>
        <v>95500</v>
      </c>
      <c r="F40" s="6">
        <f>F32+F33</f>
        <v>106508.4</v>
      </c>
      <c r="G40" s="6">
        <f>G32+G33</f>
        <v>116078.57243999999</v>
      </c>
      <c r="H40" s="6">
        <f>H32+H33</f>
        <v>129478.39982870402</v>
      </c>
      <c r="I40" s="6">
        <f>I32+I33</f>
        <v>141133.91230478199</v>
      </c>
    </row>
    <row r="41" spans="2:9" x14ac:dyDescent="0.25">
      <c r="B41" s="47" t="s">
        <v>47</v>
      </c>
      <c r="C41" s="48"/>
      <c r="D41" s="49"/>
      <c r="E41" s="6">
        <f>SUM(E31:E34)</f>
        <v>216500</v>
      </c>
      <c r="F41" s="6">
        <f>SUM(F31:F34)</f>
        <v>242270.4</v>
      </c>
      <c r="G41" s="6">
        <f>SUM(G31:G34)</f>
        <v>264941.60544000001</v>
      </c>
      <c r="H41" s="6">
        <f>SUM(H31:H34)</f>
        <v>293039.25830510398</v>
      </c>
      <c r="I41" s="6">
        <f>SUM(I31:I34)</f>
        <v>318137.95745476242</v>
      </c>
    </row>
  </sheetData>
  <mergeCells count="31">
    <mergeCell ref="B41:D41"/>
    <mergeCell ref="B31:D31"/>
    <mergeCell ref="B32:D32"/>
    <mergeCell ref="B33:D33"/>
    <mergeCell ref="B40:D40"/>
    <mergeCell ref="B39:D39"/>
    <mergeCell ref="B5:F5"/>
    <mergeCell ref="B9:F9"/>
    <mergeCell ref="B38:D38"/>
    <mergeCell ref="B34:D34"/>
    <mergeCell ref="B12:F12"/>
    <mergeCell ref="B13:F13"/>
    <mergeCell ref="B14:F14"/>
    <mergeCell ref="B15:F15"/>
    <mergeCell ref="B16:F16"/>
    <mergeCell ref="B20:F20"/>
    <mergeCell ref="B21:F21"/>
    <mergeCell ref="B22:F22"/>
    <mergeCell ref="B17:F17"/>
    <mergeCell ref="B18:F18"/>
    <mergeCell ref="B19:F19"/>
    <mergeCell ref="B25:F25"/>
    <mergeCell ref="B23:F23"/>
    <mergeCell ref="B24:F24"/>
    <mergeCell ref="B26:H26"/>
    <mergeCell ref="B30:D30"/>
    <mergeCell ref="B6:F6"/>
    <mergeCell ref="B7:F7"/>
    <mergeCell ref="B8:F8"/>
    <mergeCell ref="B10:F10"/>
    <mergeCell ref="B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F203-3231-467A-A957-ED9633FE319C}">
  <dimension ref="A1"/>
  <sheetViews>
    <sheetView workbookViewId="0">
      <selection activeCell="N13" sqref="N1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3AC5-37D4-4966-B818-9846D726D68B}">
  <dimension ref="B6:G15"/>
  <sheetViews>
    <sheetView workbookViewId="0">
      <selection activeCell="O11" sqref="O11"/>
    </sheetView>
  </sheetViews>
  <sheetFormatPr baseColWidth="10" defaultRowHeight="15" x14ac:dyDescent="0.25"/>
  <cols>
    <col min="2" max="2" width="37.7109375" customWidth="1"/>
  </cols>
  <sheetData>
    <row r="6" spans="2:7" x14ac:dyDescent="0.25">
      <c r="B6" s="22" t="s">
        <v>54</v>
      </c>
      <c r="C6" s="22" t="s">
        <v>65</v>
      </c>
      <c r="D6" s="22" t="s">
        <v>66</v>
      </c>
      <c r="E6" s="22" t="s">
        <v>67</v>
      </c>
      <c r="F6" s="22" t="s">
        <v>68</v>
      </c>
      <c r="G6" s="22" t="s">
        <v>69</v>
      </c>
    </row>
    <row r="7" spans="2:7" x14ac:dyDescent="0.25">
      <c r="B7" s="15" t="s">
        <v>7</v>
      </c>
      <c r="C7" s="21">
        <f>INVERSIONES!G5*0.2</f>
        <v>300</v>
      </c>
      <c r="D7" s="21">
        <f>INVERSIONES!G5*0.2</f>
        <v>300</v>
      </c>
      <c r="E7" s="21">
        <f>INVERSIONES!G5*0.2</f>
        <v>300</v>
      </c>
      <c r="F7" s="21">
        <f>INVERSIONES!G5*0.2</f>
        <v>300</v>
      </c>
      <c r="G7" s="21">
        <f>INVERSIONES!G5*0.2</f>
        <v>300</v>
      </c>
    </row>
    <row r="8" spans="2:7" x14ac:dyDescent="0.25">
      <c r="B8" s="15" t="s">
        <v>8</v>
      </c>
      <c r="C8" s="21">
        <f>INVERSIONES!G6*0.2</f>
        <v>500</v>
      </c>
      <c r="D8" s="21">
        <f>INVERSIONES!G6*0.2</f>
        <v>500</v>
      </c>
      <c r="E8" s="21">
        <f>INVERSIONES!G6*0.2</f>
        <v>500</v>
      </c>
      <c r="F8" s="21">
        <f>INVERSIONES!G6*0.2</f>
        <v>500</v>
      </c>
      <c r="G8" s="21">
        <f>INVERSIONES!G6*0.2</f>
        <v>500</v>
      </c>
    </row>
    <row r="9" spans="2:7" x14ac:dyDescent="0.25">
      <c r="B9" s="15" t="s">
        <v>11</v>
      </c>
      <c r="C9" s="21">
        <f>INVERSIONES!G10*0.5</f>
        <v>1350</v>
      </c>
      <c r="D9" s="21">
        <f>INVERSIONES!G10*0.5</f>
        <v>1350</v>
      </c>
      <c r="E9" s="21">
        <f>INVERSIONES!I10*0.33</f>
        <v>1188</v>
      </c>
      <c r="F9" s="21">
        <f>INVERSIONES!I10*0.33</f>
        <v>1188</v>
      </c>
      <c r="G9" s="21">
        <f>INVERSIONES!I10*0.33</f>
        <v>1188</v>
      </c>
    </row>
    <row r="10" spans="2:7" x14ac:dyDescent="0.25">
      <c r="B10" s="15" t="s">
        <v>15</v>
      </c>
      <c r="C10" s="21">
        <f>INVERSIONES!G15*0.2</f>
        <v>720</v>
      </c>
      <c r="D10" s="21">
        <f>INVERSIONES!G15*0.2</f>
        <v>720</v>
      </c>
      <c r="E10" s="21">
        <f>INVERSIONES!G15*0.2</f>
        <v>720</v>
      </c>
      <c r="F10" s="21">
        <f>INVERSIONES!G15*0.2</f>
        <v>720</v>
      </c>
      <c r="G10" s="21">
        <f>INVERSIONES!G15*0.2</f>
        <v>720</v>
      </c>
    </row>
    <row r="11" spans="2:7" x14ac:dyDescent="0.25">
      <c r="B11" s="15" t="s">
        <v>16</v>
      </c>
      <c r="C11" s="21">
        <f>INVERSIONES!G16*0.2</f>
        <v>600</v>
      </c>
      <c r="D11" s="21">
        <f>INVERSIONES!G16*0.2</f>
        <v>600</v>
      </c>
      <c r="E11" s="21">
        <f>INVERSIONES!G16*0.2</f>
        <v>600</v>
      </c>
      <c r="F11" s="21">
        <f>INVERSIONES!G16*0.2</f>
        <v>600</v>
      </c>
      <c r="G11" s="21">
        <f>INVERSIONES!G16*0.2</f>
        <v>600</v>
      </c>
    </row>
    <row r="12" spans="2:7" x14ac:dyDescent="0.25">
      <c r="B12" s="15" t="s">
        <v>70</v>
      </c>
      <c r="C12" s="21">
        <f>INVERSIONES!G17*0.33</f>
        <v>2046</v>
      </c>
      <c r="D12" s="21">
        <f>INVERSIONES!G17*0.33</f>
        <v>2046</v>
      </c>
      <c r="E12" s="21">
        <f>INVERSIONES!G17*0.33</f>
        <v>2046</v>
      </c>
      <c r="F12" s="21">
        <f>INVERSIONES!J17*0.5</f>
        <v>2500</v>
      </c>
      <c r="G12" s="21">
        <f>INVERSIONES!J17*0.5</f>
        <v>2500</v>
      </c>
    </row>
    <row r="13" spans="2:7" x14ac:dyDescent="0.25">
      <c r="B13" s="15" t="s">
        <v>71</v>
      </c>
      <c r="C13" s="21">
        <f>INVERSIONES!G18*0.33</f>
        <v>6105</v>
      </c>
      <c r="D13" s="21">
        <f>INVERSIONES!G18*0.33</f>
        <v>6105</v>
      </c>
      <c r="E13" s="21">
        <f>INVERSIONES!G18*0.33</f>
        <v>6105</v>
      </c>
      <c r="F13" s="21">
        <f>INVERSIONES!J18*0.5</f>
        <v>7500</v>
      </c>
      <c r="G13" s="21">
        <f>INVERSIONES!J18*0.5</f>
        <v>7500</v>
      </c>
    </row>
    <row r="14" spans="2:7" x14ac:dyDescent="0.25">
      <c r="B14" s="15" t="s">
        <v>17</v>
      </c>
      <c r="C14" s="21">
        <f>INVERSIONES!G19*0.2</f>
        <v>1800</v>
      </c>
      <c r="D14" s="21">
        <f>INVERSIONES!G19*0.2</f>
        <v>1800</v>
      </c>
      <c r="E14" s="21">
        <f>INVERSIONES!G19*0.2</f>
        <v>1800</v>
      </c>
      <c r="F14" s="21">
        <f>INVERSIONES!G19*0.2</f>
        <v>1800</v>
      </c>
      <c r="G14" s="21">
        <f>INVERSIONES!G19*0.2</f>
        <v>1800</v>
      </c>
    </row>
    <row r="15" spans="2:7" x14ac:dyDescent="0.25">
      <c r="B15" s="15" t="s">
        <v>72</v>
      </c>
      <c r="C15" s="6">
        <f>SUM(C7:C14)</f>
        <v>13421</v>
      </c>
      <c r="D15" s="6">
        <f>SUM(D7:D14)</f>
        <v>13421</v>
      </c>
      <c r="E15" s="6">
        <f>SUM(E7:E14)</f>
        <v>13259</v>
      </c>
      <c r="F15" s="6">
        <f>SUM(F7:F14)</f>
        <v>15108</v>
      </c>
      <c r="G15" s="6">
        <f>SUM(G7:G14)</f>
        <v>15108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3C56-2ABF-4BAE-9DB6-AF266A5600C2}">
  <dimension ref="A1"/>
  <sheetViews>
    <sheetView workbookViewId="0">
      <selection activeCell="O24" sqref="O2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9737-5031-4C8A-BF55-1AD5A35D23A9}">
  <dimension ref="C4:H8"/>
  <sheetViews>
    <sheetView workbookViewId="0">
      <selection activeCell="K10" sqref="K10"/>
    </sheetView>
  </sheetViews>
  <sheetFormatPr baseColWidth="10" defaultRowHeight="15" x14ac:dyDescent="0.25"/>
  <cols>
    <col min="3" max="3" width="32.28515625" customWidth="1"/>
  </cols>
  <sheetData>
    <row r="4" spans="3:8" x14ac:dyDescent="0.25">
      <c r="C4" s="22" t="s">
        <v>73</v>
      </c>
      <c r="D4" s="22" t="s">
        <v>65</v>
      </c>
      <c r="E4" s="22" t="s">
        <v>66</v>
      </c>
      <c r="F4" s="22" t="s">
        <v>67</v>
      </c>
      <c r="G4" s="22" t="s">
        <v>68</v>
      </c>
      <c r="H4" s="22" t="s">
        <v>69</v>
      </c>
    </row>
    <row r="5" spans="3:8" x14ac:dyDescent="0.25">
      <c r="C5" s="15" t="s">
        <v>74</v>
      </c>
      <c r="D5" s="6">
        <f>INGRESOS!E31*0.25</f>
        <v>17250</v>
      </c>
      <c r="E5" s="6">
        <f>INGRESOS!F31*0.25</f>
        <v>19354.5</v>
      </c>
      <c r="F5" s="6">
        <f>INGRESOS!G31*0.25</f>
        <v>21222.20925</v>
      </c>
      <c r="G5" s="6">
        <f>INGRESOS!H31*0.25</f>
        <v>22945.452641100001</v>
      </c>
      <c r="H5" s="6">
        <f>INGRESOS!I31*0.25</f>
        <v>24574.579778618103</v>
      </c>
    </row>
    <row r="6" spans="3:8" x14ac:dyDescent="0.25">
      <c r="C6" s="15" t="s">
        <v>75</v>
      </c>
      <c r="D6" s="6">
        <f>INGRESOS!E32*0.3</f>
        <v>9450</v>
      </c>
      <c r="E6" s="6">
        <f>INGRESOS!F32*0.3</f>
        <v>10410.120000000001</v>
      </c>
      <c r="F6" s="6">
        <f>INGRESOS!G32*0.3</f>
        <v>11202.330132000001</v>
      </c>
      <c r="G6" s="6">
        <f>INGRESOS!H32*0.3</f>
        <v>12340.486873411201</v>
      </c>
      <c r="H6" s="6">
        <f>INGRESOS!I32*0.3</f>
        <v>13279.59792447779</v>
      </c>
    </row>
    <row r="7" spans="3:8" x14ac:dyDescent="0.25">
      <c r="C7" s="15" t="s">
        <v>76</v>
      </c>
      <c r="D7" s="6">
        <f>INGRESOS!E33*0.25</f>
        <v>16000</v>
      </c>
      <c r="E7" s="6">
        <f>INGRESOS!F33*0.25</f>
        <v>17952</v>
      </c>
      <c r="F7" s="6">
        <f>INGRESOS!G33*0.25</f>
        <v>19684.367999999999</v>
      </c>
      <c r="G7" s="6">
        <f>INGRESOS!H33*0.25</f>
        <v>22085.860896000002</v>
      </c>
      <c r="H7" s="6">
        <f>INGRESOS!I33*0.25</f>
        <v>24217.146472464003</v>
      </c>
    </row>
    <row r="8" spans="3:8" x14ac:dyDescent="0.25">
      <c r="C8" s="15" t="s">
        <v>77</v>
      </c>
      <c r="D8" s="6">
        <f>INGRESOS!E34*0.3</f>
        <v>15600</v>
      </c>
      <c r="E8" s="6">
        <f>INGRESOS!F34*0.3</f>
        <v>17503.2</v>
      </c>
      <c r="F8" s="6">
        <f>INGRESOS!G34*0.3</f>
        <v>19192.2588</v>
      </c>
      <c r="G8" s="6">
        <f>INGRESOS!H34*0.3</f>
        <v>21533.714373600003</v>
      </c>
      <c r="H8" s="6">
        <f>INGRESOS!I34*0.3</f>
        <v>23611.717810652401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7375-7C70-4B36-A743-53170E562337}">
  <dimension ref="A1"/>
  <sheetViews>
    <sheetView workbookViewId="0">
      <selection activeCell="P22" sqref="P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1D08-CDF0-4B6C-BD8A-521E0E0340FD}">
  <dimension ref="B6:I14"/>
  <sheetViews>
    <sheetView workbookViewId="0">
      <selection activeCell="E7" sqref="E7"/>
    </sheetView>
  </sheetViews>
  <sheetFormatPr baseColWidth="10" defaultRowHeight="15" x14ac:dyDescent="0.25"/>
  <sheetData>
    <row r="6" spans="2:9" x14ac:dyDescent="0.25">
      <c r="B6" s="40" t="s">
        <v>55</v>
      </c>
      <c r="C6" s="41"/>
      <c r="D6" s="42"/>
      <c r="E6" s="14" t="s">
        <v>1</v>
      </c>
      <c r="F6" s="14" t="s">
        <v>56</v>
      </c>
      <c r="G6" s="14" t="s">
        <v>3</v>
      </c>
      <c r="H6" s="14" t="s">
        <v>4</v>
      </c>
      <c r="I6" s="14" t="s">
        <v>5</v>
      </c>
    </row>
    <row r="7" spans="2:9" x14ac:dyDescent="0.25">
      <c r="B7" s="47" t="s">
        <v>48</v>
      </c>
      <c r="C7" s="48"/>
      <c r="D7" s="49"/>
      <c r="E7" s="6">
        <v>33537.65</v>
      </c>
      <c r="F7" s="6">
        <v>36138.980000000003</v>
      </c>
      <c r="G7" s="6">
        <v>38997.61</v>
      </c>
      <c r="H7" s="6">
        <v>41648.26</v>
      </c>
      <c r="I7" s="6">
        <v>44497.62</v>
      </c>
    </row>
    <row r="8" spans="2:9" x14ac:dyDescent="0.25">
      <c r="B8" s="47" t="s">
        <v>49</v>
      </c>
      <c r="C8" s="48"/>
      <c r="D8" s="49"/>
      <c r="E8" s="6">
        <v>6000</v>
      </c>
      <c r="F8" s="6">
        <v>6240</v>
      </c>
      <c r="G8" s="6">
        <v>6490</v>
      </c>
      <c r="H8" s="6">
        <v>6750</v>
      </c>
      <c r="I8" s="6">
        <v>7020</v>
      </c>
    </row>
    <row r="9" spans="2:9" x14ac:dyDescent="0.25">
      <c r="B9" s="47" t="s">
        <v>50</v>
      </c>
      <c r="C9" s="48"/>
      <c r="D9" s="49"/>
      <c r="E9" s="6">
        <v>9400</v>
      </c>
      <c r="F9" s="6">
        <v>10340</v>
      </c>
      <c r="G9" s="6">
        <v>11374</v>
      </c>
      <c r="H9" s="6">
        <v>12511</v>
      </c>
      <c r="I9" s="6">
        <v>13762</v>
      </c>
    </row>
    <row r="10" spans="2:9" x14ac:dyDescent="0.25">
      <c r="B10" s="47" t="s">
        <v>51</v>
      </c>
      <c r="C10" s="48"/>
      <c r="D10" s="49"/>
      <c r="E10" s="6">
        <v>350</v>
      </c>
      <c r="F10" s="6">
        <v>368</v>
      </c>
      <c r="G10" s="6">
        <v>386</v>
      </c>
      <c r="H10" s="6">
        <v>405</v>
      </c>
      <c r="I10" s="6">
        <v>425</v>
      </c>
    </row>
    <row r="11" spans="2:9" x14ac:dyDescent="0.25">
      <c r="B11" s="47" t="s">
        <v>52</v>
      </c>
      <c r="C11" s="48"/>
      <c r="D11" s="49"/>
      <c r="E11" s="6">
        <v>6100</v>
      </c>
      <c r="F11" s="6">
        <v>6405</v>
      </c>
      <c r="G11" s="6">
        <v>6725</v>
      </c>
      <c r="H11" s="6">
        <v>7061</v>
      </c>
      <c r="I11" s="6">
        <v>7414</v>
      </c>
    </row>
    <row r="12" spans="2:9" x14ac:dyDescent="0.25">
      <c r="B12" s="47" t="s">
        <v>53</v>
      </c>
      <c r="C12" s="48"/>
      <c r="D12" s="49"/>
      <c r="E12" s="6">
        <v>14000</v>
      </c>
      <c r="F12" s="6">
        <v>1540</v>
      </c>
      <c r="G12" s="6">
        <v>1694</v>
      </c>
      <c r="H12" s="6">
        <v>1863</v>
      </c>
      <c r="I12" s="6">
        <v>2049</v>
      </c>
    </row>
    <row r="13" spans="2:9" x14ac:dyDescent="0.25">
      <c r="B13" s="47" t="s">
        <v>54</v>
      </c>
      <c r="C13" s="48"/>
      <c r="D13" s="49"/>
      <c r="E13" s="6">
        <f>AMORTIZACIONES!C15</f>
        <v>13421</v>
      </c>
      <c r="F13" s="6">
        <f>AMORTIZACIONES!D15</f>
        <v>13421</v>
      </c>
      <c r="G13" s="6">
        <f>AMORTIZACIONES!E15</f>
        <v>13259</v>
      </c>
      <c r="H13" s="6">
        <f>AMORTIZACIONES!F15</f>
        <v>15108</v>
      </c>
      <c r="I13" s="6">
        <f>AMORTIZACIONES!G15</f>
        <v>15108</v>
      </c>
    </row>
    <row r="14" spans="2:9" x14ac:dyDescent="0.25">
      <c r="B14" s="50" t="s">
        <v>33</v>
      </c>
      <c r="C14" s="51"/>
      <c r="D14" s="52"/>
      <c r="E14" s="6">
        <f>SUM(E7:E13)</f>
        <v>82808.649999999994</v>
      </c>
      <c r="F14" s="6">
        <f>SUM(F7:F13)</f>
        <v>74452.98000000001</v>
      </c>
      <c r="G14" s="6">
        <f>SUM(G7:G13)</f>
        <v>78925.61</v>
      </c>
      <c r="H14" s="6">
        <f>SUM(H7:H13)</f>
        <v>85346.260000000009</v>
      </c>
      <c r="I14" s="6">
        <f>SUM(I7:I13)</f>
        <v>90275.62</v>
      </c>
    </row>
  </sheetData>
  <mergeCells count="9">
    <mergeCell ref="B11:D11"/>
    <mergeCell ref="B12:D12"/>
    <mergeCell ref="B13:D13"/>
    <mergeCell ref="B14:D14"/>
    <mergeCell ref="B6:D6"/>
    <mergeCell ref="B7:D7"/>
    <mergeCell ref="B8:D8"/>
    <mergeCell ref="B9:D9"/>
    <mergeCell ref="B10:D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ADC5-C652-491F-9F8F-6437AD44A723}">
  <dimension ref="A1"/>
  <sheetViews>
    <sheetView workbookViewId="0">
      <selection activeCell="P27" sqref="P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7D30-87B9-4BBE-AB90-E288A9436125}">
  <dimension ref="C8:J40"/>
  <sheetViews>
    <sheetView topLeftCell="A5" workbookViewId="0">
      <selection activeCell="R14" sqref="R14"/>
    </sheetView>
  </sheetViews>
  <sheetFormatPr baseColWidth="10" defaultRowHeight="15" x14ac:dyDescent="0.25"/>
  <sheetData>
    <row r="8" spans="3:10" x14ac:dyDescent="0.25">
      <c r="C8" s="83"/>
      <c r="D8" s="83"/>
      <c r="E8" s="84"/>
      <c r="F8" s="14" t="s">
        <v>1</v>
      </c>
      <c r="G8" s="14" t="s">
        <v>2</v>
      </c>
      <c r="H8" s="14" t="s">
        <v>3</v>
      </c>
      <c r="I8" s="14" t="s">
        <v>4</v>
      </c>
      <c r="J8" s="14" t="s">
        <v>5</v>
      </c>
    </row>
    <row r="9" spans="3:10" x14ac:dyDescent="0.25">
      <c r="C9" s="62" t="s">
        <v>57</v>
      </c>
      <c r="D9" s="63"/>
      <c r="E9" s="63"/>
      <c r="F9" s="63"/>
      <c r="G9" s="63"/>
      <c r="H9" s="63"/>
      <c r="I9" s="63"/>
      <c r="J9" s="64"/>
    </row>
    <row r="10" spans="3:10" x14ac:dyDescent="0.25">
      <c r="C10" s="53" t="s">
        <v>45</v>
      </c>
      <c r="D10" s="54"/>
      <c r="E10" s="55"/>
      <c r="F10" s="15">
        <f>INGRESOS!E39</f>
        <v>121000</v>
      </c>
      <c r="G10" s="15">
        <f>INGRESOS!F39</f>
        <v>135762</v>
      </c>
      <c r="H10" s="15">
        <f>INGRESOS!G39</f>
        <v>148863.033</v>
      </c>
      <c r="I10" s="15">
        <f>INGRESOS!H39</f>
        <v>163560.85847640003</v>
      </c>
      <c r="J10" s="15">
        <f>INGRESOS!I39</f>
        <v>177004.0451499804</v>
      </c>
    </row>
    <row r="11" spans="3:10" x14ac:dyDescent="0.25">
      <c r="C11" s="53" t="s">
        <v>46</v>
      </c>
      <c r="D11" s="54"/>
      <c r="E11" s="55"/>
      <c r="F11" s="15">
        <f>INGRESOS!E40</f>
        <v>95500</v>
      </c>
      <c r="G11" s="15">
        <f>INGRESOS!F40</f>
        <v>106508.4</v>
      </c>
      <c r="H11" s="15">
        <f>INGRESOS!G40</f>
        <v>116078.57243999999</v>
      </c>
      <c r="I11" s="15">
        <f>INGRESOS!H40</f>
        <v>129478.39982870402</v>
      </c>
      <c r="J11" s="15">
        <f>INGRESOS!I40</f>
        <v>141133.91230478199</v>
      </c>
    </row>
    <row r="12" spans="3:10" x14ac:dyDescent="0.25">
      <c r="C12" s="53" t="s">
        <v>47</v>
      </c>
      <c r="D12" s="54"/>
      <c r="E12" s="55"/>
      <c r="F12" s="15">
        <f>INGRESOS!E41</f>
        <v>216500</v>
      </c>
      <c r="G12" s="15">
        <f>INGRESOS!F41</f>
        <v>242270.4</v>
      </c>
      <c r="H12" s="15">
        <f>INGRESOS!G41</f>
        <v>264941.60544000001</v>
      </c>
      <c r="I12" s="15">
        <f>INGRESOS!H41</f>
        <v>293039.25830510398</v>
      </c>
      <c r="J12" s="15">
        <f>INGRESOS!I41</f>
        <v>318137.95745476242</v>
      </c>
    </row>
    <row r="13" spans="3:10" x14ac:dyDescent="0.25">
      <c r="C13" s="56"/>
      <c r="D13" s="57"/>
      <c r="E13" s="57"/>
      <c r="F13" s="57"/>
      <c r="G13" s="57"/>
      <c r="H13" s="57"/>
      <c r="I13" s="57"/>
      <c r="J13" s="58"/>
    </row>
    <row r="14" spans="3:10" x14ac:dyDescent="0.25">
      <c r="C14" s="59" t="s">
        <v>58</v>
      </c>
      <c r="D14" s="60"/>
      <c r="E14" s="61"/>
      <c r="F14" s="16">
        <f>'COSTES FIJOS'!E14</f>
        <v>82808.649999999994</v>
      </c>
      <c r="G14" s="16">
        <f>'COSTES FIJOS'!F14</f>
        <v>74452.98000000001</v>
      </c>
      <c r="H14" s="16">
        <f>'COSTES FIJOS'!G14</f>
        <v>78925.61</v>
      </c>
      <c r="I14" s="16">
        <f>'COSTES FIJOS'!H14</f>
        <v>85346.260000000009</v>
      </c>
      <c r="J14" s="16">
        <f>'COSTES FIJOS'!I14</f>
        <v>90275.62</v>
      </c>
    </row>
    <row r="15" spans="3:10" x14ac:dyDescent="0.25">
      <c r="C15" s="59" t="s">
        <v>59</v>
      </c>
      <c r="D15" s="60"/>
      <c r="E15" s="61"/>
      <c r="F15" s="16">
        <f>'COSTES FIJOS'!E13</f>
        <v>13421</v>
      </c>
      <c r="G15" s="16">
        <f>'COSTES FIJOS'!F13</f>
        <v>13421</v>
      </c>
      <c r="H15" s="16">
        <f>'COSTES FIJOS'!G13</f>
        <v>13259</v>
      </c>
      <c r="I15" s="16">
        <f>'COSTES FIJOS'!H13</f>
        <v>15108</v>
      </c>
      <c r="J15" s="16">
        <f>'COSTES FIJOS'!I13</f>
        <v>15108</v>
      </c>
    </row>
    <row r="16" spans="3:10" x14ac:dyDescent="0.25">
      <c r="C16" s="56"/>
      <c r="D16" s="57"/>
      <c r="E16" s="57"/>
      <c r="F16" s="57"/>
      <c r="G16" s="57"/>
      <c r="H16" s="57"/>
      <c r="I16" s="57"/>
      <c r="J16" s="58"/>
    </row>
    <row r="17" spans="3:10" x14ac:dyDescent="0.25">
      <c r="C17" s="59" t="s">
        <v>60</v>
      </c>
      <c r="D17" s="60"/>
      <c r="E17" s="60"/>
      <c r="F17" s="60"/>
      <c r="G17" s="60"/>
      <c r="H17" s="60"/>
      <c r="I17" s="60"/>
      <c r="J17" s="61"/>
    </row>
    <row r="18" spans="3:10" x14ac:dyDescent="0.25">
      <c r="C18" s="65" t="s">
        <v>45</v>
      </c>
      <c r="D18" s="66"/>
      <c r="E18" s="67"/>
      <c r="F18" s="16">
        <f>'COSTES VARIABLES'!D5+'COSTES VARIABLES'!D8</f>
        <v>32850</v>
      </c>
      <c r="G18" s="16">
        <f>'COSTES VARIABLES'!E5+'COSTES VARIABLES'!E8</f>
        <v>36857.699999999997</v>
      </c>
      <c r="H18" s="16">
        <f>'COSTES VARIABLES'!F5+'COSTES VARIABLES'!F8</f>
        <v>40414.468049999996</v>
      </c>
      <c r="I18" s="16">
        <f>'COSTES VARIABLES'!G5+'COSTES VARIABLES'!G8</f>
        <v>44479.167014700004</v>
      </c>
      <c r="J18" s="16">
        <f>'COSTES VARIABLES'!H5+'COSTES VARIABLES'!H8</f>
        <v>48186.2975892705</v>
      </c>
    </row>
    <row r="19" spans="3:10" x14ac:dyDescent="0.25">
      <c r="C19" s="65" t="s">
        <v>46</v>
      </c>
      <c r="D19" s="66"/>
      <c r="E19" s="67"/>
      <c r="F19" s="16">
        <f>'COSTES VARIABLES'!D6+'COSTES VARIABLES'!D7</f>
        <v>25450</v>
      </c>
      <c r="G19" s="16">
        <f>'COSTES VARIABLES'!E6+'COSTES VARIABLES'!E7</f>
        <v>28362.120000000003</v>
      </c>
      <c r="H19" s="16">
        <f>'COSTES VARIABLES'!F6+'COSTES VARIABLES'!F7</f>
        <v>30886.698131999998</v>
      </c>
      <c r="I19" s="16">
        <f>'COSTES VARIABLES'!G6+'COSTES VARIABLES'!G7</f>
        <v>34426.347769411201</v>
      </c>
      <c r="J19" s="16">
        <f>'COSTES VARIABLES'!H6+'COSTES VARIABLES'!H7</f>
        <v>37496.744396941795</v>
      </c>
    </row>
    <row r="20" spans="3:10" x14ac:dyDescent="0.25">
      <c r="C20" s="65" t="s">
        <v>47</v>
      </c>
      <c r="D20" s="66"/>
      <c r="E20" s="67"/>
      <c r="F20" s="16">
        <f>SUM('COSTES VARIABLES'!D5:D8)</f>
        <v>58300</v>
      </c>
      <c r="G20" s="16">
        <f>SUM('COSTES VARIABLES'!E5:E8)</f>
        <v>65219.820000000007</v>
      </c>
      <c r="H20" s="16">
        <f>SUM('COSTES VARIABLES'!F5:F8)</f>
        <v>71301.166182000001</v>
      </c>
      <c r="I20" s="16">
        <f>SUM('COSTES VARIABLES'!G5:G8)</f>
        <v>78905.514784111205</v>
      </c>
      <c r="J20" s="16">
        <f>SUM('COSTES VARIABLES'!H5:H8)</f>
        <v>85683.041986212294</v>
      </c>
    </row>
    <row r="21" spans="3:10" x14ac:dyDescent="0.25">
      <c r="C21" s="56"/>
      <c r="D21" s="57"/>
      <c r="E21" s="57"/>
      <c r="F21" s="57"/>
      <c r="G21" s="57"/>
      <c r="H21" s="57"/>
      <c r="I21" s="57"/>
      <c r="J21" s="58"/>
    </row>
    <row r="22" spans="3:10" x14ac:dyDescent="0.25">
      <c r="C22" s="68" t="s">
        <v>61</v>
      </c>
      <c r="D22" s="69"/>
      <c r="E22" s="69"/>
      <c r="F22" s="69"/>
      <c r="G22" s="69"/>
      <c r="H22" s="69"/>
      <c r="I22" s="69"/>
      <c r="J22" s="70"/>
    </row>
    <row r="23" spans="3:10" x14ac:dyDescent="0.25">
      <c r="C23" s="71" t="s">
        <v>45</v>
      </c>
      <c r="D23" s="72"/>
      <c r="E23" s="73"/>
      <c r="F23" s="17">
        <f>F10-F14-F18</f>
        <v>5341.3500000000058</v>
      </c>
      <c r="G23" s="17">
        <f>G10-G14-G18</f>
        <v>24451.319999999992</v>
      </c>
      <c r="H23" s="17">
        <f>H10-H14-H18</f>
        <v>29522.954949999999</v>
      </c>
      <c r="I23" s="17">
        <f>I10-I14-I18</f>
        <v>33735.431461700013</v>
      </c>
      <c r="J23" s="17">
        <f>J10-J14-J18</f>
        <v>38542.127560709909</v>
      </c>
    </row>
    <row r="24" spans="3:10" x14ac:dyDescent="0.25">
      <c r="C24" s="71" t="s">
        <v>46</v>
      </c>
      <c r="D24" s="72"/>
      <c r="E24" s="73"/>
      <c r="F24" s="17">
        <f>F11-F14-F19</f>
        <v>-12758.649999999994</v>
      </c>
      <c r="G24" s="17">
        <f>G11-G14-G19</f>
        <v>3693.2999999999811</v>
      </c>
      <c r="H24" s="17">
        <f>H11-H14-H19</f>
        <v>6266.2643079999907</v>
      </c>
      <c r="I24" s="17">
        <f>I11-I14-I19</f>
        <v>9705.7920592928058</v>
      </c>
      <c r="J24" s="17">
        <f>J11-J14-J19</f>
        <v>13361.547907840199</v>
      </c>
    </row>
    <row r="25" spans="3:10" x14ac:dyDescent="0.25">
      <c r="C25" s="71" t="s">
        <v>47</v>
      </c>
      <c r="D25" s="72"/>
      <c r="E25" s="73"/>
      <c r="F25" s="17">
        <f>F12-F14-F20</f>
        <v>75391.350000000006</v>
      </c>
      <c r="G25" s="17">
        <f>G12-G14-G20</f>
        <v>102597.59999999998</v>
      </c>
      <c r="H25" s="17">
        <f>H12-H14-H20</f>
        <v>114714.82925800003</v>
      </c>
      <c r="I25" s="17">
        <f>I12-I14-I20</f>
        <v>128787.48352099277</v>
      </c>
      <c r="J25" s="17">
        <f>J12-J14-J20</f>
        <v>142179.29546855012</v>
      </c>
    </row>
    <row r="26" spans="3:10" x14ac:dyDescent="0.25">
      <c r="C26" s="56"/>
      <c r="D26" s="57"/>
      <c r="E26" s="57"/>
      <c r="F26" s="57"/>
      <c r="G26" s="57"/>
      <c r="H26" s="57"/>
      <c r="I26" s="57"/>
      <c r="J26" s="58"/>
    </row>
    <row r="27" spans="3:10" x14ac:dyDescent="0.25">
      <c r="C27" s="77" t="s">
        <v>62</v>
      </c>
      <c r="D27" s="78"/>
      <c r="E27" s="78"/>
      <c r="F27" s="78"/>
      <c r="G27" s="78"/>
      <c r="H27" s="78"/>
      <c r="I27" s="78"/>
      <c r="J27" s="79"/>
    </row>
    <row r="28" spans="3:10" x14ac:dyDescent="0.25">
      <c r="C28" s="80" t="s">
        <v>45</v>
      </c>
      <c r="D28" s="81"/>
      <c r="E28" s="82"/>
      <c r="F28" s="18">
        <f t="shared" ref="F28:J30" si="0">F23*0.2</f>
        <v>1068.2700000000011</v>
      </c>
      <c r="G28" s="18">
        <f t="shared" si="0"/>
        <v>4890.2639999999983</v>
      </c>
      <c r="H28" s="18">
        <f t="shared" si="0"/>
        <v>5904.5909900000006</v>
      </c>
      <c r="I28" s="18">
        <f t="shared" si="0"/>
        <v>6747.0862923400027</v>
      </c>
      <c r="J28" s="18">
        <f t="shared" si="0"/>
        <v>7708.4255121419819</v>
      </c>
    </row>
    <row r="29" spans="3:10" x14ac:dyDescent="0.25">
      <c r="C29" s="80" t="s">
        <v>46</v>
      </c>
      <c r="D29" s="81"/>
      <c r="E29" s="82"/>
      <c r="F29" s="18">
        <f t="shared" si="0"/>
        <v>-2551.7299999999991</v>
      </c>
      <c r="G29" s="18">
        <f t="shared" si="0"/>
        <v>738.65999999999622</v>
      </c>
      <c r="H29" s="18">
        <f t="shared" si="0"/>
        <v>1253.2528615999981</v>
      </c>
      <c r="I29" s="18">
        <f t="shared" si="0"/>
        <v>1941.1584118585613</v>
      </c>
      <c r="J29" s="18">
        <f t="shared" si="0"/>
        <v>2672.3095815680399</v>
      </c>
    </row>
    <row r="30" spans="3:10" x14ac:dyDescent="0.25">
      <c r="C30" s="80" t="s">
        <v>47</v>
      </c>
      <c r="D30" s="81"/>
      <c r="E30" s="82"/>
      <c r="F30" s="18">
        <f t="shared" si="0"/>
        <v>15078.270000000002</v>
      </c>
      <c r="G30" s="18">
        <f t="shared" si="0"/>
        <v>20519.519999999997</v>
      </c>
      <c r="H30" s="18">
        <f t="shared" si="0"/>
        <v>22942.965851600005</v>
      </c>
      <c r="I30" s="18">
        <f t="shared" si="0"/>
        <v>25757.496704198555</v>
      </c>
      <c r="J30" s="18">
        <f t="shared" si="0"/>
        <v>28435.859093710023</v>
      </c>
    </row>
    <row r="31" spans="3:10" x14ac:dyDescent="0.25">
      <c r="C31" s="56"/>
      <c r="D31" s="57"/>
      <c r="E31" s="57"/>
      <c r="F31" s="57"/>
      <c r="G31" s="57"/>
      <c r="H31" s="57"/>
      <c r="I31" s="57"/>
      <c r="J31" s="58"/>
    </row>
    <row r="32" spans="3:10" x14ac:dyDescent="0.25">
      <c r="C32" s="85" t="s">
        <v>63</v>
      </c>
      <c r="D32" s="86"/>
      <c r="E32" s="86"/>
      <c r="F32" s="86"/>
      <c r="G32" s="86"/>
      <c r="H32" s="86"/>
      <c r="I32" s="86"/>
      <c r="J32" s="87"/>
    </row>
    <row r="33" spans="3:10" x14ac:dyDescent="0.25">
      <c r="C33" s="74" t="s">
        <v>45</v>
      </c>
      <c r="D33" s="75"/>
      <c r="E33" s="76"/>
      <c r="F33" s="19">
        <f t="shared" ref="F33:J35" si="1">F23-F28</f>
        <v>4273.0800000000045</v>
      </c>
      <c r="G33" s="19">
        <f t="shared" si="1"/>
        <v>19561.055999999993</v>
      </c>
      <c r="H33" s="19">
        <f t="shared" si="1"/>
        <v>23618.363959999999</v>
      </c>
      <c r="I33" s="19">
        <f t="shared" si="1"/>
        <v>26988.345169360011</v>
      </c>
      <c r="J33" s="19">
        <f t="shared" si="1"/>
        <v>30833.702048567928</v>
      </c>
    </row>
    <row r="34" spans="3:10" x14ac:dyDescent="0.25">
      <c r="C34" s="74" t="s">
        <v>46</v>
      </c>
      <c r="D34" s="75"/>
      <c r="E34" s="76"/>
      <c r="F34" s="19">
        <f t="shared" si="1"/>
        <v>-10206.919999999995</v>
      </c>
      <c r="G34" s="19">
        <f t="shared" si="1"/>
        <v>2954.6399999999849</v>
      </c>
      <c r="H34" s="19">
        <f t="shared" si="1"/>
        <v>5013.0114463999926</v>
      </c>
      <c r="I34" s="19">
        <f t="shared" si="1"/>
        <v>7764.6336474342443</v>
      </c>
      <c r="J34" s="19">
        <f t="shared" si="1"/>
        <v>10689.23832627216</v>
      </c>
    </row>
    <row r="35" spans="3:10" x14ac:dyDescent="0.25">
      <c r="C35" s="74" t="s">
        <v>47</v>
      </c>
      <c r="D35" s="75"/>
      <c r="E35" s="76"/>
      <c r="F35" s="19">
        <f t="shared" si="1"/>
        <v>60313.08</v>
      </c>
      <c r="G35" s="19">
        <f t="shared" si="1"/>
        <v>82078.079999999987</v>
      </c>
      <c r="H35" s="19">
        <f t="shared" si="1"/>
        <v>91771.863406400022</v>
      </c>
      <c r="I35" s="19">
        <f t="shared" si="1"/>
        <v>103029.98681679422</v>
      </c>
      <c r="J35" s="19">
        <f t="shared" si="1"/>
        <v>113743.43637484009</v>
      </c>
    </row>
    <row r="36" spans="3:10" x14ac:dyDescent="0.25">
      <c r="C36" s="56"/>
      <c r="D36" s="57"/>
      <c r="E36" s="57"/>
      <c r="F36" s="57"/>
      <c r="G36" s="57"/>
      <c r="H36" s="57"/>
      <c r="I36" s="57"/>
      <c r="J36" s="58"/>
    </row>
    <row r="37" spans="3:10" x14ac:dyDescent="0.25">
      <c r="C37" s="85" t="s">
        <v>64</v>
      </c>
      <c r="D37" s="86"/>
      <c r="E37" s="86"/>
      <c r="F37" s="86"/>
      <c r="G37" s="86"/>
      <c r="H37" s="86"/>
      <c r="I37" s="86"/>
      <c r="J37" s="87"/>
    </row>
    <row r="38" spans="3:10" x14ac:dyDescent="0.25">
      <c r="C38" s="74" t="s">
        <v>45</v>
      </c>
      <c r="D38" s="75"/>
      <c r="E38" s="76"/>
      <c r="F38" s="19">
        <f>F33</f>
        <v>4273.0800000000045</v>
      </c>
      <c r="G38" s="19">
        <f t="shared" ref="G38:J40" si="2">G33+F38</f>
        <v>23834.135999999999</v>
      </c>
      <c r="H38" s="19">
        <f t="shared" si="2"/>
        <v>47452.499960000001</v>
      </c>
      <c r="I38" s="19">
        <f t="shared" si="2"/>
        <v>74440.845129360008</v>
      </c>
      <c r="J38" s="19">
        <f t="shared" si="2"/>
        <v>105274.54717792793</v>
      </c>
    </row>
    <row r="39" spans="3:10" x14ac:dyDescent="0.25">
      <c r="C39" s="74" t="s">
        <v>46</v>
      </c>
      <c r="D39" s="75"/>
      <c r="E39" s="76"/>
      <c r="F39" s="19">
        <f>F34</f>
        <v>-10206.919999999995</v>
      </c>
      <c r="G39" s="19">
        <f t="shared" si="2"/>
        <v>-7252.2800000000097</v>
      </c>
      <c r="H39" s="19">
        <f t="shared" si="2"/>
        <v>-2239.2685536000172</v>
      </c>
      <c r="I39" s="19">
        <f t="shared" si="2"/>
        <v>5525.3650938342271</v>
      </c>
      <c r="J39" s="19">
        <f t="shared" si="2"/>
        <v>16214.603420106387</v>
      </c>
    </row>
    <row r="40" spans="3:10" x14ac:dyDescent="0.25">
      <c r="C40" s="74" t="s">
        <v>47</v>
      </c>
      <c r="D40" s="75"/>
      <c r="E40" s="76"/>
      <c r="F40" s="19">
        <f>F35</f>
        <v>60313.08</v>
      </c>
      <c r="G40" s="19">
        <f t="shared" si="2"/>
        <v>142391.15999999997</v>
      </c>
      <c r="H40" s="19">
        <f t="shared" si="2"/>
        <v>234163.0234064</v>
      </c>
      <c r="I40" s="19">
        <f t="shared" si="2"/>
        <v>337193.0102231942</v>
      </c>
      <c r="J40" s="19">
        <f t="shared" si="2"/>
        <v>450936.44659803429</v>
      </c>
    </row>
  </sheetData>
  <mergeCells count="33">
    <mergeCell ref="C40:E40"/>
    <mergeCell ref="C8:E8"/>
    <mergeCell ref="C35:E35"/>
    <mergeCell ref="C36:J36"/>
    <mergeCell ref="C37:J37"/>
    <mergeCell ref="C38:E38"/>
    <mergeCell ref="C39:E39"/>
    <mergeCell ref="C30:E30"/>
    <mergeCell ref="C31:J31"/>
    <mergeCell ref="C32:J32"/>
    <mergeCell ref="C33:E33"/>
    <mergeCell ref="C34:E34"/>
    <mergeCell ref="C25:E25"/>
    <mergeCell ref="C26:J26"/>
    <mergeCell ref="C27:J27"/>
    <mergeCell ref="C28:E28"/>
    <mergeCell ref="C29:E29"/>
    <mergeCell ref="C24:E24"/>
    <mergeCell ref="C15:E15"/>
    <mergeCell ref="C16:J16"/>
    <mergeCell ref="C17:J17"/>
    <mergeCell ref="C18:E18"/>
    <mergeCell ref="C19:E19"/>
    <mergeCell ref="C9:J9"/>
    <mergeCell ref="C20:E20"/>
    <mergeCell ref="C21:J21"/>
    <mergeCell ref="C22:J22"/>
    <mergeCell ref="C23:E23"/>
    <mergeCell ref="C10:E10"/>
    <mergeCell ref="C11:E11"/>
    <mergeCell ref="C12:E12"/>
    <mergeCell ref="C13:J13"/>
    <mergeCell ref="C14:E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67D-4557-4AC2-8302-DB84D01CB7A6}">
  <dimension ref="A1"/>
  <sheetViews>
    <sheetView workbookViewId="0">
      <selection activeCell="R22" sqref="R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AB74-0F73-4917-ABDC-725AFCE58AD7}">
  <dimension ref="B4:M32"/>
  <sheetViews>
    <sheetView workbookViewId="0">
      <selection activeCell="G36" sqref="G36"/>
    </sheetView>
  </sheetViews>
  <sheetFormatPr baseColWidth="10" defaultRowHeight="15" x14ac:dyDescent="0.25"/>
  <cols>
    <col min="2" max="2" width="18.7109375" customWidth="1"/>
    <col min="3" max="3" width="20.140625" customWidth="1"/>
    <col min="4" max="4" width="21.28515625" customWidth="1"/>
    <col min="5" max="5" width="19.140625" customWidth="1"/>
    <col min="6" max="6" width="18.7109375" customWidth="1"/>
    <col min="7" max="7" width="17.28515625" customWidth="1"/>
    <col min="8" max="8" width="23" customWidth="1"/>
    <col min="9" max="9" width="17.7109375" customWidth="1"/>
    <col min="10" max="10" width="18.28515625" customWidth="1"/>
    <col min="11" max="11" width="17.140625" customWidth="1"/>
    <col min="12" max="12" width="19.85546875" customWidth="1"/>
  </cols>
  <sheetData>
    <row r="4" spans="2:12" x14ac:dyDescent="0.25">
      <c r="B4" s="89" t="s">
        <v>78</v>
      </c>
      <c r="C4" s="23" t="s">
        <v>79</v>
      </c>
      <c r="D4" s="23" t="s">
        <v>80</v>
      </c>
      <c r="E4" s="23" t="s">
        <v>79</v>
      </c>
      <c r="F4" s="23" t="s">
        <v>80</v>
      </c>
      <c r="G4" s="23" t="s">
        <v>79</v>
      </c>
      <c r="H4" s="23" t="s">
        <v>80</v>
      </c>
      <c r="I4" s="23" t="s">
        <v>79</v>
      </c>
      <c r="J4" s="23" t="s">
        <v>80</v>
      </c>
      <c r="K4" s="23" t="s">
        <v>79</v>
      </c>
      <c r="L4" s="23" t="s">
        <v>80</v>
      </c>
    </row>
    <row r="5" spans="2:12" x14ac:dyDescent="0.25">
      <c r="B5" s="89"/>
      <c r="C5" s="24" t="s">
        <v>65</v>
      </c>
      <c r="D5" s="24"/>
      <c r="E5" s="24" t="s">
        <v>66</v>
      </c>
      <c r="F5" s="24"/>
      <c r="G5" s="24" t="s">
        <v>67</v>
      </c>
      <c r="H5" s="24"/>
      <c r="I5" s="24" t="s">
        <v>68</v>
      </c>
      <c r="J5" s="24"/>
      <c r="K5" s="24" t="s">
        <v>69</v>
      </c>
      <c r="L5" s="24"/>
    </row>
    <row r="6" spans="2:12" x14ac:dyDescent="0.25">
      <c r="B6" s="6" t="s">
        <v>97</v>
      </c>
      <c r="C6" s="6">
        <f>INVERSIONES!G22</f>
        <v>50000</v>
      </c>
      <c r="D6" s="6">
        <f>BENEFICIOS!F33</f>
        <v>4273.0800000000045</v>
      </c>
      <c r="E6" s="6">
        <v>0</v>
      </c>
      <c r="F6" s="6">
        <f>BENEFICIOS!G33</f>
        <v>19561.055999999993</v>
      </c>
      <c r="G6" s="6">
        <f>INVERSIONES!I22</f>
        <v>3600</v>
      </c>
      <c r="H6" s="6">
        <f>BENEFICIOS!H33</f>
        <v>23618.363959999999</v>
      </c>
      <c r="I6" s="6">
        <f>INVERSIONES!J22</f>
        <v>20000</v>
      </c>
      <c r="J6" s="6">
        <f>BENEFICIOS!I33</f>
        <v>26988.345169360011</v>
      </c>
      <c r="K6" s="6">
        <v>0</v>
      </c>
      <c r="L6" s="6">
        <f>BENEFICIOS!J33</f>
        <v>30833.702048567928</v>
      </c>
    </row>
    <row r="7" spans="2:12" x14ac:dyDescent="0.25">
      <c r="B7" s="6" t="s">
        <v>98</v>
      </c>
      <c r="C7" s="6">
        <f>INVERSIONES!G22</f>
        <v>50000</v>
      </c>
      <c r="D7" s="6">
        <f>BENEFICIOS!F34</f>
        <v>-10206.919999999995</v>
      </c>
      <c r="E7" s="6">
        <v>0</v>
      </c>
      <c r="F7" s="6">
        <f>BENEFICIOS!G34</f>
        <v>2954.6399999999849</v>
      </c>
      <c r="G7" s="6">
        <f>INVERSIONES!I22</f>
        <v>3600</v>
      </c>
      <c r="H7" s="6">
        <f>BENEFICIOS!H34</f>
        <v>5013.0114463999926</v>
      </c>
      <c r="I7" s="6">
        <f>INVERSIONES!J22</f>
        <v>20000</v>
      </c>
      <c r="J7" s="6">
        <f>BENEFICIOS!I34</f>
        <v>7764.6336474342443</v>
      </c>
      <c r="K7" s="6">
        <v>0</v>
      </c>
      <c r="L7" s="6">
        <f>BENEFICIOS!J34</f>
        <v>10689.23832627216</v>
      </c>
    </row>
    <row r="8" spans="2:12" x14ac:dyDescent="0.25">
      <c r="B8" s="6" t="s">
        <v>83</v>
      </c>
      <c r="C8" s="6">
        <f>INVERSIONES!G22</f>
        <v>50000</v>
      </c>
      <c r="D8" s="6">
        <f>BENEFICIOS!F35</f>
        <v>60313.08</v>
      </c>
      <c r="E8" s="6">
        <v>0</v>
      </c>
      <c r="F8" s="6">
        <f>BENEFICIOS!G35</f>
        <v>82078.079999999987</v>
      </c>
      <c r="G8" s="6">
        <f>INVERSIONES!I22</f>
        <v>3600</v>
      </c>
      <c r="H8" s="6">
        <f>BENEFICIOS!H35</f>
        <v>91771.863406400022</v>
      </c>
      <c r="I8" s="6">
        <f>INVERSIONES!J22</f>
        <v>20000</v>
      </c>
      <c r="J8" s="6">
        <f>BENEFICIOS!I35</f>
        <v>103029.98681679422</v>
      </c>
      <c r="K8" s="6">
        <v>0</v>
      </c>
      <c r="L8" s="6">
        <f>BENEFICIOS!J35</f>
        <v>113743.43637484009</v>
      </c>
    </row>
    <row r="9" spans="2:12" x14ac:dyDescent="0.25">
      <c r="B9" s="6" t="s">
        <v>84</v>
      </c>
      <c r="C9" s="25">
        <v>0.02</v>
      </c>
      <c r="D9" s="6"/>
      <c r="E9" s="18">
        <v>0.02</v>
      </c>
      <c r="F9" s="6"/>
      <c r="G9" s="18">
        <v>0.02</v>
      </c>
      <c r="H9" s="6"/>
      <c r="I9" s="18">
        <v>0.02</v>
      </c>
      <c r="J9" s="6"/>
      <c r="K9" s="18">
        <v>0.02</v>
      </c>
      <c r="L9" s="6"/>
    </row>
    <row r="11" spans="2:12" x14ac:dyDescent="0.25">
      <c r="B11" s="90" t="s">
        <v>86</v>
      </c>
      <c r="C11" s="90"/>
      <c r="D11" s="90"/>
      <c r="E11" s="90"/>
      <c r="F11" s="90"/>
      <c r="G11" s="90"/>
      <c r="H11" s="90"/>
      <c r="I11" s="90"/>
    </row>
    <row r="12" spans="2:12" x14ac:dyDescent="0.25">
      <c r="B12" s="26" t="s">
        <v>78</v>
      </c>
      <c r="C12" s="27" t="s">
        <v>87</v>
      </c>
      <c r="D12" s="27" t="s">
        <v>88</v>
      </c>
      <c r="E12" s="27" t="s">
        <v>89</v>
      </c>
      <c r="F12" s="27" t="s">
        <v>90</v>
      </c>
      <c r="G12" s="27" t="s">
        <v>91</v>
      </c>
      <c r="H12" s="27" t="s">
        <v>92</v>
      </c>
      <c r="I12" s="27" t="s">
        <v>93</v>
      </c>
    </row>
    <row r="13" spans="2:12" x14ac:dyDescent="0.25">
      <c r="B13" s="6" t="s">
        <v>97</v>
      </c>
      <c r="C13" s="18"/>
      <c r="D13" s="18"/>
      <c r="E13" s="18"/>
      <c r="F13" s="18"/>
      <c r="G13" s="6"/>
      <c r="H13" s="6"/>
      <c r="I13" s="6"/>
    </row>
    <row r="14" spans="2:12" x14ac:dyDescent="0.25">
      <c r="B14" s="6" t="s">
        <v>98</v>
      </c>
      <c r="C14" s="18">
        <v>3</v>
      </c>
      <c r="D14" s="18">
        <v>4</v>
      </c>
      <c r="E14" s="18">
        <f>BENEFICIOS!H39</f>
        <v>-2239.2685536000172</v>
      </c>
      <c r="F14" s="18">
        <f>BENEFICIOS!I39</f>
        <v>5525.3650938342271</v>
      </c>
      <c r="G14" s="6">
        <f>(-E14*365)/(F14-E14)+C14*365</f>
        <v>1200.2635654399596</v>
      </c>
      <c r="H14" s="6">
        <f>G14/365</f>
        <v>3.2883933299724921</v>
      </c>
      <c r="I14" s="6"/>
    </row>
    <row r="15" spans="2:12" x14ac:dyDescent="0.25">
      <c r="B15" s="6" t="s">
        <v>83</v>
      </c>
      <c r="C15" s="6"/>
      <c r="D15" s="6"/>
      <c r="E15" s="6"/>
      <c r="F15" s="18"/>
      <c r="G15" s="6"/>
      <c r="H15" s="6"/>
      <c r="I15" s="6"/>
    </row>
    <row r="17" spans="2:13" x14ac:dyDescent="0.25">
      <c r="J17" s="28"/>
      <c r="K17" s="28"/>
      <c r="L17" s="28"/>
      <c r="M17" s="28"/>
    </row>
    <row r="18" spans="2:13" x14ac:dyDescent="0.25">
      <c r="J18" s="28"/>
      <c r="K18" s="28"/>
      <c r="L18" s="28"/>
      <c r="M18" s="28"/>
    </row>
    <row r="19" spans="2:13" x14ac:dyDescent="0.25">
      <c r="B19" s="88" t="s">
        <v>99</v>
      </c>
      <c r="C19" s="88"/>
      <c r="D19" s="88"/>
      <c r="E19" s="88"/>
      <c r="F19" s="88"/>
      <c r="G19" s="88"/>
      <c r="J19" s="28"/>
      <c r="K19" s="28"/>
      <c r="L19" s="28"/>
      <c r="M19" s="28"/>
    </row>
    <row r="20" spans="2:13" x14ac:dyDescent="0.25">
      <c r="B20" s="22" t="s">
        <v>100</v>
      </c>
      <c r="C20" s="22" t="s">
        <v>101</v>
      </c>
      <c r="D20" s="22" t="s">
        <v>88</v>
      </c>
      <c r="E20" s="22" t="s">
        <v>89</v>
      </c>
      <c r="F20" s="22" t="s">
        <v>90</v>
      </c>
      <c r="G20" s="22" t="s">
        <v>102</v>
      </c>
    </row>
    <row r="21" spans="2:13" x14ac:dyDescent="0.25">
      <c r="B21" s="6" t="s">
        <v>105</v>
      </c>
      <c r="C21" s="22"/>
      <c r="D21" s="22"/>
      <c r="E21" s="22"/>
      <c r="F21" s="22"/>
      <c r="G21" s="22">
        <f>(H13-2)*(F21-E21)+E21</f>
        <v>0</v>
      </c>
    </row>
    <row r="22" spans="2:13" x14ac:dyDescent="0.25">
      <c r="B22" s="6" t="s">
        <v>106</v>
      </c>
      <c r="C22" s="22"/>
      <c r="D22" s="22"/>
      <c r="E22" s="22"/>
      <c r="F22" s="22"/>
      <c r="G22" s="22"/>
    </row>
    <row r="23" spans="2:13" x14ac:dyDescent="0.25">
      <c r="B23" s="6" t="s">
        <v>107</v>
      </c>
      <c r="C23" s="22">
        <v>3</v>
      </c>
      <c r="D23" s="22">
        <v>4</v>
      </c>
      <c r="E23" s="22">
        <f>BENEFICIOS!F11+BENEFICIOS!G11+BENEFICIOS!H11</f>
        <v>318086.97243999998</v>
      </c>
      <c r="F23" s="22">
        <f>E23+BENEFICIOS!I11</f>
        <v>447565.372268704</v>
      </c>
      <c r="G23" s="22">
        <f>(H14-C23)*(F23-E23)+E23</f>
        <v>355427.6793261097</v>
      </c>
    </row>
    <row r="24" spans="2:13" x14ac:dyDescent="0.25">
      <c r="B24" s="6" t="s">
        <v>108</v>
      </c>
      <c r="C24" s="22">
        <v>3</v>
      </c>
      <c r="D24" s="22">
        <v>4</v>
      </c>
      <c r="E24" s="22">
        <f>BENEFICIOS!F14+BENEFICIOS!F19+BENEFICIOS!G14+BENEFICIOS!G19+BENEFICIOS!H14+BENEFICIOS!H19</f>
        <v>320886.05813199998</v>
      </c>
      <c r="F24" s="22">
        <f>BENEFICIOS!I14+BENEFICIOS!I19+E24</f>
        <v>440658.66590141121</v>
      </c>
      <c r="G24" s="22">
        <f>(H14-C24)*(F24-E24)+E24</f>
        <v>355427.67932610965</v>
      </c>
    </row>
    <row r="25" spans="2:13" x14ac:dyDescent="0.25">
      <c r="B25" s="6" t="s">
        <v>103</v>
      </c>
      <c r="C25" s="22"/>
      <c r="D25" s="22"/>
      <c r="E25" s="22"/>
      <c r="F25" s="22"/>
      <c r="G25" s="22"/>
    </row>
    <row r="26" spans="2:13" x14ac:dyDescent="0.25">
      <c r="B26" s="6" t="s">
        <v>104</v>
      </c>
      <c r="C26" s="22"/>
      <c r="D26" s="22"/>
      <c r="E26" s="22"/>
      <c r="F26" s="22"/>
      <c r="G26" s="22"/>
    </row>
    <row r="29" spans="2:13" x14ac:dyDescent="0.25">
      <c r="B29" s="22" t="s">
        <v>96</v>
      </c>
      <c r="C29" s="22" t="s">
        <v>85</v>
      </c>
      <c r="D29" s="22" t="s">
        <v>94</v>
      </c>
      <c r="E29" s="22" t="s">
        <v>95</v>
      </c>
      <c r="F29" s="22" t="s">
        <v>102</v>
      </c>
      <c r="G29" s="22" t="s">
        <v>109</v>
      </c>
    </row>
    <row r="30" spans="2:13" x14ac:dyDescent="0.25">
      <c r="B30" s="6" t="s">
        <v>81</v>
      </c>
      <c r="C30" s="6">
        <f>-C6+D6/(1+C9)-E6+F6/(1+E9)^2-G6+H6/(1+G9)^3-I6+J6/(1+I9)^4-K6+L6/(1+K9)^5</f>
        <v>24506.975505105798</v>
      </c>
      <c r="D30" s="6"/>
      <c r="E30" s="6">
        <f>BENEFICIOS!J38</f>
        <v>105274.54717792793</v>
      </c>
      <c r="F30" s="6"/>
      <c r="G30" s="6">
        <f>(BENEFICIOS!J38-INVERSIONES!G22-INVERSIONES!I22-INVERSIONES!J22)/(INVERSIONES!G22+INVERSIONES!I22+INVERSIONES!J22)</f>
        <v>0.43036069535228166</v>
      </c>
    </row>
    <row r="31" spans="2:13" x14ac:dyDescent="0.25">
      <c r="B31" s="6" t="s">
        <v>82</v>
      </c>
      <c r="C31" s="6">
        <f>-C7+D7/(1+C9)-E7+F7/(1+E9)^2-G7+H7/(1+G9)^3-I7+J7/(1+I9)^4-K7+L7/(1+K9)^5</f>
        <v>-59188.11017097265</v>
      </c>
      <c r="D31" s="6">
        <f>H14</f>
        <v>3.2883933299724921</v>
      </c>
      <c r="E31" s="6">
        <f>BENEFICIOS!J39</f>
        <v>16214.603420106387</v>
      </c>
      <c r="F31" s="6">
        <f>G23</f>
        <v>355427.6793261097</v>
      </c>
      <c r="G31" s="6">
        <f>(BENEFICIOS!J39-INVERSIONES!G22-INVERSIONES!I22-INVERSIONES!J22)/(INVERSIONES!G22+INVERSIONES!I22+INVERSIONES!J22)</f>
        <v>-0.77969288831377193</v>
      </c>
    </row>
    <row r="32" spans="2:13" x14ac:dyDescent="0.25">
      <c r="B32" s="6" t="s">
        <v>83</v>
      </c>
      <c r="C32" s="6">
        <f>-C8+D8/(1+C9)-E8+F8/(1+E9)^2-G8+H8/(1+G9)^3-I8+J8/(1+I9)^4-K8+L8/(1+K9)^5</f>
        <v>349104.75208392937</v>
      </c>
      <c r="D32" s="6"/>
      <c r="E32" s="6">
        <f>BENEFICIOS!J40</f>
        <v>450936.44659803429</v>
      </c>
      <c r="F32" s="6"/>
      <c r="G32" s="6">
        <f>(BENEFICIOS!J40-INVERSIONES!G22-INVERSIONES!I22-INVERSIONES!J22)/(INVERSIONES!G22+INVERSIONES!I22+INVERSIONES!J22)</f>
        <v>5.1268538939950314</v>
      </c>
    </row>
  </sheetData>
  <mergeCells count="3">
    <mergeCell ref="B19:G19"/>
    <mergeCell ref="B4:B5"/>
    <mergeCell ref="B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INVERSIONES</vt:lpstr>
      <vt:lpstr>EVOLUCION INVERSIONES</vt:lpstr>
      <vt:lpstr>INGRESOS</vt:lpstr>
      <vt:lpstr>EVOLUCION INGRESOS</vt:lpstr>
      <vt:lpstr>AMORTIZACIONES</vt:lpstr>
      <vt:lpstr>EVOLUCIÓN AMORTIZACIONES</vt:lpstr>
      <vt:lpstr>COSTES VARIABLES</vt:lpstr>
      <vt:lpstr>EVOLUCIÓN COSTES VARIABLES</vt:lpstr>
      <vt:lpstr>COSTES FIJOS</vt:lpstr>
      <vt:lpstr>EVOLUCIÓN COSTES FIJOS</vt:lpstr>
      <vt:lpstr>BENEFICIOS</vt:lpstr>
      <vt:lpstr>EVOLUCIÓN BNA</vt:lpstr>
      <vt:lpstr>CÁLCULO 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Javier</cp:lastModifiedBy>
  <dcterms:created xsi:type="dcterms:W3CDTF">2020-03-01T00:33:54Z</dcterms:created>
  <dcterms:modified xsi:type="dcterms:W3CDTF">2020-03-20T13:40:47Z</dcterms:modified>
</cp:coreProperties>
</file>