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o\Desktop\Programacion\GDP\"/>
    </mc:Choice>
  </mc:AlternateContent>
  <bookViews>
    <workbookView xWindow="0" yWindow="0" windowWidth="21570" windowHeight="8085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2" i="1" l="1"/>
  <c r="L42" i="1"/>
  <c r="K42" i="1"/>
  <c r="J42" i="1"/>
  <c r="N41" i="1"/>
  <c r="L41" i="1"/>
  <c r="K41" i="1"/>
  <c r="J41" i="1"/>
  <c r="I37" i="2"/>
  <c r="J37" i="2" s="1"/>
  <c r="I36" i="2"/>
  <c r="J36" i="2" s="1"/>
  <c r="I35" i="2"/>
  <c r="J35" i="2" s="1"/>
  <c r="I34" i="2"/>
  <c r="J34" i="2" s="1"/>
  <c r="O33" i="1"/>
  <c r="P33" i="1" s="1"/>
  <c r="O34" i="1"/>
  <c r="P34" i="1" s="1"/>
  <c r="O35" i="1"/>
  <c r="P35" i="1" s="1"/>
  <c r="O32" i="1"/>
  <c r="P32" i="1" s="1"/>
</calcChain>
</file>

<file path=xl/sharedStrings.xml><?xml version="1.0" encoding="utf-8"?>
<sst xmlns="http://schemas.openxmlformats.org/spreadsheetml/2006/main" count="118" uniqueCount="52">
  <si>
    <t>MODIFICADORES DEL COSTE DE DESARROLLO</t>
  </si>
  <si>
    <t>Muy bajo</t>
  </si>
  <si>
    <t>Bajo</t>
  </si>
  <si>
    <t>Alto</t>
  </si>
  <si>
    <t>Muy alto</t>
  </si>
  <si>
    <t>ATRIBUTOS DEL PRODUCTO</t>
  </si>
  <si>
    <t>ATRIBUTOS DEL ORDENADOR</t>
  </si>
  <si>
    <t>ATRIBUTOS DEL PERSONAL</t>
  </si>
  <si>
    <t>ATRIBUTOS DEL PROYECTO</t>
  </si>
  <si>
    <t>RELY Confiabilidad requerida del software</t>
  </si>
  <si>
    <t>DATA Tamaño de la Base de datos</t>
  </si>
  <si>
    <t>CPLX Complejidad del producto</t>
  </si>
  <si>
    <t>TIME Restricciones del tiempo de ejecución</t>
  </si>
  <si>
    <t xml:space="preserve"> STOR Restriciones en almacenamiento principal</t>
  </si>
  <si>
    <t>VIRT Volatilidad maquina virtual</t>
  </si>
  <si>
    <t>TURN Tiempo respuesta del ordenador</t>
  </si>
  <si>
    <t>ACAP Capacidad de los analistas</t>
  </si>
  <si>
    <t xml:space="preserve">AEXP Experiencia en la aplicación </t>
  </si>
  <si>
    <t>PCAP Capacidad de los programadores</t>
  </si>
  <si>
    <t>VEXP Experiencia en uso de memoria virtual</t>
  </si>
  <si>
    <t>LEXP Experiencia en lenguaje de programación</t>
  </si>
  <si>
    <t>MODP Uso de prácticas modernas de pro.</t>
  </si>
  <si>
    <t>TOOL Uso de herramientas software</t>
  </si>
  <si>
    <t>SCED Calendario requerido para el desarrollo</t>
  </si>
  <si>
    <t xml:space="preserve">MODO </t>
  </si>
  <si>
    <t>Esfuerzo</t>
  </si>
  <si>
    <t>Organico</t>
  </si>
  <si>
    <t>Semi-acoplado</t>
  </si>
  <si>
    <t>empotrado</t>
  </si>
  <si>
    <t>a</t>
  </si>
  <si>
    <t>b</t>
  </si>
  <si>
    <t>c</t>
  </si>
  <si>
    <t>d</t>
  </si>
  <si>
    <t>Asignacion</t>
  </si>
  <si>
    <t>Parametro</t>
  </si>
  <si>
    <t>Normal</t>
  </si>
  <si>
    <t>Fases</t>
  </si>
  <si>
    <t>Total</t>
  </si>
  <si>
    <t>Diseño</t>
  </si>
  <si>
    <t>Programacion</t>
  </si>
  <si>
    <t>Integracion y pruebas</t>
  </si>
  <si>
    <t>Duración</t>
  </si>
  <si>
    <t>Personal medio</t>
  </si>
  <si>
    <t>Productividad</t>
  </si>
  <si>
    <t>COCOMO INTERMEDIO</t>
  </si>
  <si>
    <t>Lineas codigo</t>
  </si>
  <si>
    <t>Proyectos</t>
  </si>
  <si>
    <t>Aplicación cliente</t>
  </si>
  <si>
    <t>Base de datos</t>
  </si>
  <si>
    <t>PFA</t>
  </si>
  <si>
    <t>Estimación lineas codigo</t>
  </si>
  <si>
    <t>Estimación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</si>
</sst>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 applyAlignme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0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6" borderId="4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/>
    </xf>
    <xf numFmtId="0" fontId="0" fillId="9" borderId="0" xfId="0" applyFill="1" applyAlignment="1">
      <alignment horizontal="center"/>
    </xf>
    <xf numFmtId="0" fontId="0" fillId="7" borderId="0" xfId="0" applyFont="1" applyFill="1" applyBorder="1" applyAlignment="1"/>
    <xf numFmtId="0" fontId="0" fillId="7" borderId="0" xfId="0" applyFont="1" applyFill="1" applyBorder="1" applyAlignment="1">
      <alignment horizontal="right"/>
    </xf>
    <xf numFmtId="0" fontId="0" fillId="7" borderId="0" xfId="0" applyFont="1" applyFill="1" applyBorder="1"/>
    <xf numFmtId="0" fontId="0" fillId="7" borderId="0" xfId="0" applyFont="1" applyFill="1" applyBorder="1" applyAlignment="1">
      <alignment horizontal="center"/>
    </xf>
    <xf numFmtId="0" fontId="0" fillId="7" borderId="4" xfId="0" applyFont="1" applyFill="1" applyBorder="1" applyAlignment="1"/>
    <xf numFmtId="0" fontId="0" fillId="7" borderId="4" xfId="0" applyFont="1" applyFill="1" applyBorder="1" applyAlignment="1">
      <alignment horizontal="right"/>
    </xf>
    <xf numFmtId="0" fontId="0" fillId="7" borderId="4" xfId="0" applyFont="1" applyFill="1" applyBorder="1"/>
    <xf numFmtId="0" fontId="0" fillId="7" borderId="4" xfId="0" applyFont="1" applyFill="1" applyBorder="1" applyAlignment="1">
      <alignment horizontal="center"/>
    </xf>
    <xf numFmtId="0" fontId="0" fillId="7" borderId="2" xfId="0" applyFont="1" applyFill="1" applyBorder="1"/>
    <xf numFmtId="0" fontId="0" fillId="7" borderId="5" xfId="0" applyFont="1" applyFill="1" applyBorder="1"/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V42"/>
  <sheetViews>
    <sheetView tabSelected="1" topLeftCell="B13" workbookViewId="0">
      <selection activeCell="O49" sqref="O49"/>
    </sheetView>
  </sheetViews>
  <sheetFormatPr baseColWidth="10" defaultRowHeight="15" x14ac:dyDescent="0.25"/>
  <cols>
    <col min="9" max="9" width="12.5703125" customWidth="1"/>
    <col min="10" max="10" width="15.140625" customWidth="1"/>
    <col min="11" max="11" width="13.5703125" customWidth="1"/>
    <col min="12" max="12" width="13" customWidth="1"/>
    <col min="13" max="13" width="9.7109375" customWidth="1"/>
    <col min="14" max="14" width="16.5703125" customWidth="1"/>
    <col min="15" max="15" width="17.42578125" customWidth="1"/>
    <col min="16" max="16" width="13.5703125" customWidth="1"/>
    <col min="17" max="17" width="16.7109375" customWidth="1"/>
    <col min="18" max="18" width="16.42578125" customWidth="1"/>
  </cols>
  <sheetData>
    <row r="4" spans="3:20" x14ac:dyDescent="0.25">
      <c r="N4" s="1"/>
      <c r="O4" s="1"/>
      <c r="P4" s="1"/>
      <c r="Q4" s="1"/>
      <c r="R4" s="1"/>
      <c r="S4" s="1"/>
      <c r="T4" s="1"/>
    </row>
    <row r="5" spans="3:20" x14ac:dyDescent="0.25">
      <c r="N5" s="1"/>
      <c r="O5" s="1"/>
      <c r="P5" s="1"/>
      <c r="Q5" s="1"/>
      <c r="R5" s="1"/>
      <c r="S5" s="1"/>
      <c r="T5" s="1"/>
    </row>
    <row r="6" spans="3:20" x14ac:dyDescent="0.25">
      <c r="C6" s="10" t="s">
        <v>0</v>
      </c>
      <c r="D6" s="10"/>
      <c r="E6" s="10"/>
      <c r="F6" s="10"/>
      <c r="G6" s="22" t="s">
        <v>33</v>
      </c>
      <c r="H6" s="23"/>
      <c r="I6" s="23"/>
      <c r="J6" s="24"/>
      <c r="K6" s="22" t="s">
        <v>34</v>
      </c>
      <c r="L6" s="24"/>
      <c r="N6" s="1"/>
      <c r="T6" s="1"/>
    </row>
    <row r="7" spans="3:20" x14ac:dyDescent="0.25">
      <c r="C7" s="10" t="s">
        <v>5</v>
      </c>
      <c r="D7" s="10"/>
      <c r="E7" s="10"/>
      <c r="F7" s="10"/>
      <c r="G7" s="25"/>
      <c r="H7" s="26"/>
      <c r="I7" s="26"/>
      <c r="J7" s="27"/>
      <c r="K7" s="2"/>
      <c r="L7" s="2"/>
      <c r="N7" s="1"/>
      <c r="T7" s="1"/>
    </row>
    <row r="8" spans="3:20" x14ac:dyDescent="0.25">
      <c r="C8" s="14" t="s">
        <v>9</v>
      </c>
      <c r="D8" s="15"/>
      <c r="E8" s="15"/>
      <c r="F8" s="16"/>
      <c r="G8" s="7" t="s">
        <v>2</v>
      </c>
      <c r="H8" s="8"/>
      <c r="I8" s="8"/>
      <c r="J8" s="9"/>
      <c r="K8" s="28">
        <v>0.88</v>
      </c>
      <c r="L8" s="29"/>
      <c r="N8" s="1"/>
      <c r="T8" s="1"/>
    </row>
    <row r="9" spans="3:20" x14ac:dyDescent="0.25">
      <c r="C9" s="14" t="s">
        <v>10</v>
      </c>
      <c r="D9" s="15"/>
      <c r="E9" s="15"/>
      <c r="F9" s="16"/>
      <c r="G9" s="7" t="s">
        <v>2</v>
      </c>
      <c r="H9" s="8"/>
      <c r="I9" s="8"/>
      <c r="J9" s="9"/>
      <c r="K9" s="28">
        <v>0.94</v>
      </c>
      <c r="L9" s="29"/>
      <c r="N9" s="1"/>
      <c r="O9" s="1"/>
      <c r="P9" s="1"/>
      <c r="Q9" s="1"/>
      <c r="R9" s="1"/>
      <c r="S9" s="1"/>
      <c r="T9" s="1"/>
    </row>
    <row r="10" spans="3:20" x14ac:dyDescent="0.25">
      <c r="C10" s="14" t="s">
        <v>11</v>
      </c>
      <c r="D10" s="15"/>
      <c r="E10" s="15"/>
      <c r="F10" s="16"/>
      <c r="G10" s="7" t="s">
        <v>1</v>
      </c>
      <c r="H10" s="8"/>
      <c r="I10" s="8"/>
      <c r="J10" s="9"/>
      <c r="K10" s="28">
        <v>0.7</v>
      </c>
      <c r="L10" s="29"/>
    </row>
    <row r="11" spans="3:20" x14ac:dyDescent="0.25">
      <c r="C11" s="10" t="s">
        <v>6</v>
      </c>
      <c r="D11" s="10"/>
      <c r="E11" s="10"/>
      <c r="F11" s="22"/>
      <c r="G11" s="10"/>
      <c r="H11" s="10"/>
      <c r="I11" s="10"/>
      <c r="J11" s="10"/>
      <c r="K11" s="25"/>
      <c r="L11" s="27"/>
    </row>
    <row r="12" spans="3:20" x14ac:dyDescent="0.25">
      <c r="C12" s="17" t="s">
        <v>12</v>
      </c>
      <c r="D12" s="17"/>
      <c r="E12" s="17"/>
      <c r="F12" s="17"/>
      <c r="G12" s="7" t="s">
        <v>35</v>
      </c>
      <c r="H12" s="8"/>
      <c r="I12" s="8"/>
      <c r="J12" s="9"/>
      <c r="K12" s="28">
        <v>1</v>
      </c>
      <c r="L12" s="29"/>
    </row>
    <row r="13" spans="3:20" x14ac:dyDescent="0.25">
      <c r="C13" s="17" t="s">
        <v>13</v>
      </c>
      <c r="D13" s="17"/>
      <c r="E13" s="17"/>
      <c r="F13" s="17"/>
      <c r="G13" s="7" t="s">
        <v>35</v>
      </c>
      <c r="H13" s="8"/>
      <c r="I13" s="8"/>
      <c r="J13" s="9"/>
      <c r="K13" s="28">
        <v>1</v>
      </c>
      <c r="L13" s="29"/>
    </row>
    <row r="14" spans="3:20" x14ac:dyDescent="0.25">
      <c r="C14" s="17" t="s">
        <v>14</v>
      </c>
      <c r="D14" s="17"/>
      <c r="E14" s="17"/>
      <c r="F14" s="17"/>
      <c r="G14" s="7" t="s">
        <v>2</v>
      </c>
      <c r="H14" s="8"/>
      <c r="I14" s="8"/>
      <c r="J14" s="9"/>
      <c r="K14" s="28">
        <v>0.87</v>
      </c>
      <c r="L14" s="29"/>
    </row>
    <row r="15" spans="3:20" x14ac:dyDescent="0.25">
      <c r="C15" s="17" t="s">
        <v>15</v>
      </c>
      <c r="D15" s="17"/>
      <c r="E15" s="17"/>
      <c r="F15" s="17"/>
      <c r="G15" s="7" t="s">
        <v>35</v>
      </c>
      <c r="H15" s="8"/>
      <c r="I15" s="8"/>
      <c r="J15" s="9"/>
      <c r="K15" s="28">
        <v>1</v>
      </c>
      <c r="L15" s="29"/>
    </row>
    <row r="16" spans="3:20" x14ac:dyDescent="0.25">
      <c r="C16" s="11" t="s">
        <v>7</v>
      </c>
      <c r="D16" s="12"/>
      <c r="E16" s="12"/>
      <c r="F16" s="13"/>
      <c r="G16" s="25"/>
      <c r="H16" s="26"/>
      <c r="I16" s="26"/>
      <c r="J16" s="27"/>
      <c r="K16" s="25"/>
      <c r="L16" s="27"/>
    </row>
    <row r="17" spans="3:22" x14ac:dyDescent="0.25">
      <c r="C17" s="18" t="s">
        <v>16</v>
      </c>
      <c r="D17" s="19"/>
      <c r="E17" s="19"/>
      <c r="F17" s="20"/>
      <c r="G17" s="7" t="s">
        <v>3</v>
      </c>
      <c r="H17" s="8"/>
      <c r="I17" s="8"/>
      <c r="J17" s="9"/>
      <c r="K17" s="28">
        <v>0.86</v>
      </c>
      <c r="L17" s="29"/>
      <c r="O17" s="10" t="s">
        <v>24</v>
      </c>
      <c r="P17" s="10"/>
      <c r="Q17" s="2" t="s">
        <v>29</v>
      </c>
      <c r="R17" s="2"/>
      <c r="S17" s="2" t="s">
        <v>30</v>
      </c>
      <c r="T17" s="2"/>
      <c r="U17" s="3" t="s">
        <v>31</v>
      </c>
      <c r="V17" s="3" t="s">
        <v>32</v>
      </c>
    </row>
    <row r="18" spans="3:22" x14ac:dyDescent="0.25">
      <c r="C18" s="18" t="s">
        <v>17</v>
      </c>
      <c r="D18" s="19"/>
      <c r="E18" s="19"/>
      <c r="F18" s="20"/>
      <c r="G18" s="7" t="s">
        <v>4</v>
      </c>
      <c r="H18" s="8"/>
      <c r="I18" s="8"/>
      <c r="J18" s="9"/>
      <c r="K18" s="28">
        <v>0.82</v>
      </c>
      <c r="L18" s="29"/>
      <c r="O18" s="2" t="s">
        <v>26</v>
      </c>
      <c r="P18" s="2"/>
      <c r="Q18" s="5">
        <v>3.2</v>
      </c>
      <c r="R18" s="5"/>
      <c r="S18" s="7">
        <v>1.05</v>
      </c>
      <c r="T18" s="9"/>
      <c r="U18" s="4">
        <v>2.5</v>
      </c>
      <c r="V18" s="4">
        <v>0.38</v>
      </c>
    </row>
    <row r="19" spans="3:22" x14ac:dyDescent="0.25">
      <c r="C19" s="18" t="s">
        <v>18</v>
      </c>
      <c r="D19" s="19"/>
      <c r="E19" s="19"/>
      <c r="F19" s="20"/>
      <c r="G19" s="7" t="s">
        <v>4</v>
      </c>
      <c r="H19" s="8"/>
      <c r="I19" s="8"/>
      <c r="J19" s="9"/>
      <c r="K19" s="28">
        <v>0.7</v>
      </c>
      <c r="L19" s="29"/>
      <c r="O19" s="2" t="s">
        <v>27</v>
      </c>
      <c r="P19" s="2"/>
      <c r="Q19" s="5">
        <v>3</v>
      </c>
      <c r="R19" s="5"/>
      <c r="S19" s="7">
        <v>1.1200000000000001</v>
      </c>
      <c r="T19" s="9"/>
      <c r="U19" s="4">
        <v>2.5</v>
      </c>
      <c r="V19" s="4">
        <v>0.35</v>
      </c>
    </row>
    <row r="20" spans="3:22" x14ac:dyDescent="0.25">
      <c r="C20" s="18" t="s">
        <v>19</v>
      </c>
      <c r="D20" s="19"/>
      <c r="E20" s="19"/>
      <c r="F20" s="20"/>
      <c r="G20" s="7" t="s">
        <v>35</v>
      </c>
      <c r="H20" s="8"/>
      <c r="I20" s="8"/>
      <c r="J20" s="9"/>
      <c r="K20" s="28">
        <v>1</v>
      </c>
      <c r="L20" s="29"/>
      <c r="O20" s="2" t="s">
        <v>28</v>
      </c>
      <c r="P20" s="2"/>
      <c r="Q20" s="5">
        <v>2.8</v>
      </c>
      <c r="R20" s="5"/>
      <c r="S20" s="7">
        <v>1.2</v>
      </c>
      <c r="T20" s="9"/>
      <c r="U20" s="4">
        <v>2.5</v>
      </c>
      <c r="V20" s="4">
        <v>0.32</v>
      </c>
    </row>
    <row r="21" spans="3:22" x14ac:dyDescent="0.25">
      <c r="C21" s="18" t="s">
        <v>20</v>
      </c>
      <c r="D21" s="19"/>
      <c r="E21" s="19"/>
      <c r="F21" s="20"/>
      <c r="G21" s="7" t="s">
        <v>3</v>
      </c>
      <c r="H21" s="8"/>
      <c r="I21" s="8"/>
      <c r="J21" s="9"/>
      <c r="K21" s="28">
        <v>0.95</v>
      </c>
      <c r="L21" s="29"/>
    </row>
    <row r="22" spans="3:22" x14ac:dyDescent="0.25">
      <c r="C22" s="11" t="s">
        <v>8</v>
      </c>
      <c r="D22" s="12"/>
      <c r="E22" s="12"/>
      <c r="F22" s="13"/>
      <c r="G22" s="25"/>
      <c r="H22" s="26"/>
      <c r="I22" s="26"/>
      <c r="J22" s="27"/>
      <c r="K22" s="25"/>
      <c r="L22" s="27"/>
    </row>
    <row r="23" spans="3:22" x14ac:dyDescent="0.25">
      <c r="C23" s="18" t="s">
        <v>21</v>
      </c>
      <c r="D23" s="19"/>
      <c r="E23" s="19"/>
      <c r="F23" s="20"/>
      <c r="G23" s="7" t="s">
        <v>4</v>
      </c>
      <c r="H23" s="8"/>
      <c r="I23" s="8"/>
      <c r="J23" s="9"/>
      <c r="K23" s="28">
        <v>0.82</v>
      </c>
      <c r="L23" s="29"/>
    </row>
    <row r="24" spans="3:22" x14ac:dyDescent="0.25">
      <c r="C24" s="17" t="s">
        <v>22</v>
      </c>
      <c r="D24" s="17"/>
      <c r="E24" s="17"/>
      <c r="F24" s="17"/>
      <c r="G24" s="7" t="s">
        <v>4</v>
      </c>
      <c r="H24" s="8"/>
      <c r="I24" s="8"/>
      <c r="J24" s="9"/>
      <c r="K24" s="28">
        <v>0.83</v>
      </c>
      <c r="L24" s="29"/>
    </row>
    <row r="25" spans="3:22" x14ac:dyDescent="0.25">
      <c r="C25" s="17" t="s">
        <v>23</v>
      </c>
      <c r="D25" s="17"/>
      <c r="E25" s="17"/>
      <c r="F25" s="17"/>
      <c r="G25" s="7" t="s">
        <v>35</v>
      </c>
      <c r="H25" s="8"/>
      <c r="I25" s="8"/>
      <c r="J25" s="9"/>
      <c r="K25" s="28">
        <v>1</v>
      </c>
      <c r="L25" s="29"/>
    </row>
    <row r="26" spans="3:22" x14ac:dyDescent="0.25">
      <c r="C26" s="6"/>
      <c r="D26" s="6"/>
      <c r="E26" s="6"/>
      <c r="F26" s="6"/>
      <c r="G26" s="21"/>
      <c r="H26" s="21"/>
      <c r="I26" s="21"/>
      <c r="J26" s="21"/>
      <c r="K26" s="21"/>
      <c r="L26" s="21"/>
    </row>
    <row r="27" spans="3:22" x14ac:dyDescent="0.25">
      <c r="C27" s="6"/>
      <c r="D27" s="6"/>
      <c r="E27" s="6"/>
      <c r="F27" s="6"/>
    </row>
    <row r="28" spans="3:22" x14ac:dyDescent="0.25">
      <c r="C28" s="6"/>
      <c r="D28" s="6"/>
      <c r="E28" s="6"/>
      <c r="F28" s="6"/>
      <c r="I28" s="35" t="s">
        <v>45</v>
      </c>
      <c r="J28" s="35"/>
      <c r="K28">
        <v>11200</v>
      </c>
    </row>
    <row r="29" spans="3:22" x14ac:dyDescent="0.25">
      <c r="C29" s="6"/>
      <c r="D29" s="6"/>
      <c r="E29" s="6"/>
      <c r="F29" s="6"/>
    </row>
    <row r="30" spans="3:22" x14ac:dyDescent="0.25">
      <c r="C30" s="6"/>
      <c r="D30" s="6"/>
      <c r="E30" s="6"/>
      <c r="F30" s="6"/>
      <c r="I30" s="32" t="s">
        <v>44</v>
      </c>
      <c r="J30" s="32"/>
      <c r="K30" s="32"/>
      <c r="L30" s="32"/>
      <c r="M30" s="32"/>
      <c r="N30" s="32"/>
      <c r="O30" s="32"/>
      <c r="P30" s="32"/>
    </row>
    <row r="31" spans="3:22" x14ac:dyDescent="0.25">
      <c r="I31" s="30" t="s">
        <v>24</v>
      </c>
      <c r="J31" s="30"/>
      <c r="K31" s="30" t="s">
        <v>36</v>
      </c>
      <c r="L31" s="30"/>
      <c r="M31" s="31" t="s">
        <v>25</v>
      </c>
      <c r="N31" s="31" t="s">
        <v>41</v>
      </c>
      <c r="O31" s="31" t="s">
        <v>42</v>
      </c>
      <c r="P31" s="31" t="s">
        <v>43</v>
      </c>
    </row>
    <row r="32" spans="3:22" x14ac:dyDescent="0.25">
      <c r="I32" s="33" t="s">
        <v>26</v>
      </c>
      <c r="J32" s="33"/>
      <c r="K32" s="34" t="s">
        <v>37</v>
      </c>
      <c r="L32" s="34"/>
      <c r="M32" s="4">
        <v>11.3</v>
      </c>
      <c r="N32" s="4">
        <v>6.3</v>
      </c>
      <c r="O32" s="4">
        <f>M32/N32</f>
        <v>1.7936507936507937</v>
      </c>
      <c r="P32" s="4">
        <f>(K28/N32)/O32</f>
        <v>991.15044247787614</v>
      </c>
    </row>
    <row r="33" spans="3:16" x14ac:dyDescent="0.25">
      <c r="I33" s="33"/>
      <c r="J33" s="33"/>
      <c r="K33" s="34" t="s">
        <v>38</v>
      </c>
      <c r="L33" s="34"/>
      <c r="M33" s="4">
        <v>1.8</v>
      </c>
      <c r="N33" s="4">
        <v>1.2</v>
      </c>
      <c r="O33" s="4">
        <f t="shared" ref="O33:O35" si="0">M33/N33</f>
        <v>1.5</v>
      </c>
      <c r="P33" s="4">
        <f>(K28/N33)/O33</f>
        <v>6222.2222222222226</v>
      </c>
    </row>
    <row r="34" spans="3:16" x14ac:dyDescent="0.25">
      <c r="I34" s="33"/>
      <c r="J34" s="33"/>
      <c r="K34" s="34" t="s">
        <v>39</v>
      </c>
      <c r="L34" s="34"/>
      <c r="M34" s="4">
        <v>7.3</v>
      </c>
      <c r="N34" s="4">
        <v>3.7</v>
      </c>
      <c r="O34" s="4">
        <f t="shared" si="0"/>
        <v>1.9729729729729728</v>
      </c>
      <c r="P34" s="4">
        <f>(K28/N34)/O34</f>
        <v>1534.2465753424658</v>
      </c>
    </row>
    <row r="35" spans="3:16" x14ac:dyDescent="0.25">
      <c r="I35" s="33"/>
      <c r="J35" s="33"/>
      <c r="K35" s="34" t="s">
        <v>40</v>
      </c>
      <c r="L35" s="34"/>
      <c r="M35" s="4">
        <v>2.2000000000000002</v>
      </c>
      <c r="N35" s="4">
        <v>1.4</v>
      </c>
      <c r="O35" s="4">
        <f t="shared" si="0"/>
        <v>1.5714285714285716</v>
      </c>
      <c r="P35" s="4">
        <f>(K28/N35)/O35</f>
        <v>5090.909090909091</v>
      </c>
    </row>
    <row r="40" spans="3:16" x14ac:dyDescent="0.25">
      <c r="C40" s="46" t="s">
        <v>46</v>
      </c>
      <c r="D40" s="46"/>
      <c r="E40" s="47" t="s">
        <v>49</v>
      </c>
      <c r="F40" s="46" t="s">
        <v>51</v>
      </c>
      <c r="G40" s="46"/>
      <c r="H40" s="46" t="s">
        <v>50</v>
      </c>
      <c r="I40" s="46"/>
      <c r="J40" s="48" t="s">
        <v>25</v>
      </c>
      <c r="K40" s="48" t="s">
        <v>41</v>
      </c>
      <c r="L40" s="46" t="s">
        <v>42</v>
      </c>
      <c r="M40" s="46"/>
      <c r="N40" s="48" t="s">
        <v>43</v>
      </c>
    </row>
    <row r="41" spans="3:16" x14ac:dyDescent="0.25">
      <c r="C41" s="46" t="s">
        <v>47</v>
      </c>
      <c r="D41" s="46"/>
      <c r="E41" s="36">
        <v>56</v>
      </c>
      <c r="F41" s="37">
        <v>1680</v>
      </c>
      <c r="G41" s="37"/>
      <c r="H41" s="37">
        <v>11200</v>
      </c>
      <c r="I41" s="37"/>
      <c r="J41" s="38">
        <f>M32</f>
        <v>11.3</v>
      </c>
      <c r="K41" s="38">
        <f>N32</f>
        <v>6.3</v>
      </c>
      <c r="L41" s="39">
        <f>O32</f>
        <v>1.7936507936507937</v>
      </c>
      <c r="M41" s="39"/>
      <c r="N41" s="44">
        <f>P32</f>
        <v>991.15044247787614</v>
      </c>
    </row>
    <row r="42" spans="3:16" x14ac:dyDescent="0.25">
      <c r="C42" s="46" t="s">
        <v>48</v>
      </c>
      <c r="D42" s="46"/>
      <c r="E42" s="40">
        <v>69</v>
      </c>
      <c r="F42" s="41">
        <v>350</v>
      </c>
      <c r="G42" s="41"/>
      <c r="H42" s="41">
        <v>2800</v>
      </c>
      <c r="I42" s="41"/>
      <c r="J42" s="42">
        <f>Hoja2!G34</f>
        <v>2.6</v>
      </c>
      <c r="K42" s="42">
        <f>Hoja2!H34</f>
        <v>3.6</v>
      </c>
      <c r="L42" s="43">
        <f>Hoja2!I34</f>
        <v>0.72222222222222221</v>
      </c>
      <c r="M42" s="43"/>
      <c r="N42" s="45">
        <f>Hoja2!J34</f>
        <v>1076.9230769230769</v>
      </c>
    </row>
  </sheetData>
  <mergeCells count="93">
    <mergeCell ref="L42:M42"/>
    <mergeCell ref="C41:D41"/>
    <mergeCell ref="C42:D42"/>
    <mergeCell ref="F40:G40"/>
    <mergeCell ref="H40:I40"/>
    <mergeCell ref="L40:M40"/>
    <mergeCell ref="F41:G41"/>
    <mergeCell ref="F42:G42"/>
    <mergeCell ref="H41:I41"/>
    <mergeCell ref="H42:I42"/>
    <mergeCell ref="L41:M41"/>
    <mergeCell ref="K35:L35"/>
    <mergeCell ref="I32:J35"/>
    <mergeCell ref="I30:P30"/>
    <mergeCell ref="I28:J28"/>
    <mergeCell ref="C40:D40"/>
    <mergeCell ref="K25:L25"/>
    <mergeCell ref="I31:J31"/>
    <mergeCell ref="K31:L31"/>
    <mergeCell ref="K32:L32"/>
    <mergeCell ref="K33:L33"/>
    <mergeCell ref="K34:L34"/>
    <mergeCell ref="K19:L19"/>
    <mergeCell ref="K20:L20"/>
    <mergeCell ref="K21:L21"/>
    <mergeCell ref="K22:L22"/>
    <mergeCell ref="K23:L23"/>
    <mergeCell ref="K24:L24"/>
    <mergeCell ref="K13:L13"/>
    <mergeCell ref="K14:L14"/>
    <mergeCell ref="K15:L15"/>
    <mergeCell ref="K16:L16"/>
    <mergeCell ref="K17:L17"/>
    <mergeCell ref="K18:L18"/>
    <mergeCell ref="G21:J21"/>
    <mergeCell ref="G22:J22"/>
    <mergeCell ref="G23:J23"/>
    <mergeCell ref="G24:J24"/>
    <mergeCell ref="G25:J25"/>
    <mergeCell ref="K8:L8"/>
    <mergeCell ref="K9:L9"/>
    <mergeCell ref="K10:L10"/>
    <mergeCell ref="K11:L11"/>
    <mergeCell ref="K12:L12"/>
    <mergeCell ref="G15:J15"/>
    <mergeCell ref="G16:J16"/>
    <mergeCell ref="G17:J17"/>
    <mergeCell ref="G18:J18"/>
    <mergeCell ref="G19:J19"/>
    <mergeCell ref="G20:J20"/>
    <mergeCell ref="K6:L6"/>
    <mergeCell ref="G7:J7"/>
    <mergeCell ref="K7:L7"/>
    <mergeCell ref="G8:J8"/>
    <mergeCell ref="G9:J9"/>
    <mergeCell ref="G10:J10"/>
    <mergeCell ref="G12:J12"/>
    <mergeCell ref="G13:J13"/>
    <mergeCell ref="G14:J14"/>
    <mergeCell ref="Q18:R18"/>
    <mergeCell ref="S18:T18"/>
    <mergeCell ref="O19:P19"/>
    <mergeCell ref="Q19:R19"/>
    <mergeCell ref="S19:T19"/>
    <mergeCell ref="O20:P20"/>
    <mergeCell ref="Q20:R20"/>
    <mergeCell ref="S20:T20"/>
    <mergeCell ref="O17:P17"/>
    <mergeCell ref="Q17:R17"/>
    <mergeCell ref="S17:T17"/>
    <mergeCell ref="O18:P18"/>
    <mergeCell ref="G6:J6"/>
    <mergeCell ref="G11:J11"/>
    <mergeCell ref="C20:F20"/>
    <mergeCell ref="C21:F21"/>
    <mergeCell ref="C22:F22"/>
    <mergeCell ref="C23:F23"/>
    <mergeCell ref="C24:F24"/>
    <mergeCell ref="C25:F25"/>
    <mergeCell ref="C14:F14"/>
    <mergeCell ref="C15:F15"/>
    <mergeCell ref="C16:F16"/>
    <mergeCell ref="C17:F17"/>
    <mergeCell ref="C18:F18"/>
    <mergeCell ref="C19:F19"/>
    <mergeCell ref="C6:F6"/>
    <mergeCell ref="C7:F7"/>
    <mergeCell ref="C11:F11"/>
    <mergeCell ref="C12:F12"/>
    <mergeCell ref="C8:F8"/>
    <mergeCell ref="C9:F9"/>
    <mergeCell ref="C10:F10"/>
    <mergeCell ref="C13:F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7:L37"/>
  <sheetViews>
    <sheetView topLeftCell="A9" workbookViewId="0">
      <selection activeCell="I34" sqref="I34"/>
    </sheetView>
  </sheetViews>
  <sheetFormatPr baseColWidth="10" defaultRowHeight="15" x14ac:dyDescent="0.25"/>
  <cols>
    <col min="9" max="9" width="15.85546875" customWidth="1"/>
    <col min="10" max="10" width="14.7109375" customWidth="1"/>
  </cols>
  <sheetData>
    <row r="7" spans="3:12" x14ac:dyDescent="0.25">
      <c r="C7" s="10" t="s">
        <v>0</v>
      </c>
      <c r="D7" s="10"/>
      <c r="E7" s="10"/>
      <c r="F7" s="10"/>
      <c r="G7" s="22" t="s">
        <v>33</v>
      </c>
      <c r="H7" s="23"/>
      <c r="I7" s="23"/>
      <c r="J7" s="24"/>
      <c r="K7" s="22" t="s">
        <v>34</v>
      </c>
      <c r="L7" s="24"/>
    </row>
    <row r="8" spans="3:12" x14ac:dyDescent="0.25">
      <c r="C8" s="10" t="s">
        <v>5</v>
      </c>
      <c r="D8" s="10"/>
      <c r="E8" s="10"/>
      <c r="F8" s="10"/>
      <c r="G8" s="25"/>
      <c r="H8" s="26"/>
      <c r="I8" s="26"/>
      <c r="J8" s="27"/>
      <c r="K8" s="2"/>
      <c r="L8" s="2"/>
    </row>
    <row r="9" spans="3:12" x14ac:dyDescent="0.25">
      <c r="C9" s="14" t="s">
        <v>9</v>
      </c>
      <c r="D9" s="15"/>
      <c r="E9" s="15"/>
      <c r="F9" s="16"/>
      <c r="G9" s="7" t="s">
        <v>2</v>
      </c>
      <c r="H9" s="8"/>
      <c r="I9" s="8"/>
      <c r="J9" s="9"/>
      <c r="K9" s="28">
        <v>0.88</v>
      </c>
      <c r="L9" s="29"/>
    </row>
    <row r="10" spans="3:12" x14ac:dyDescent="0.25">
      <c r="C10" s="14" t="s">
        <v>10</v>
      </c>
      <c r="D10" s="15"/>
      <c r="E10" s="15"/>
      <c r="F10" s="16"/>
      <c r="G10" s="7" t="s">
        <v>2</v>
      </c>
      <c r="H10" s="8"/>
      <c r="I10" s="8"/>
      <c r="J10" s="9"/>
      <c r="K10" s="28">
        <v>0.94</v>
      </c>
      <c r="L10" s="29"/>
    </row>
    <row r="11" spans="3:12" x14ac:dyDescent="0.25">
      <c r="C11" s="14" t="s">
        <v>11</v>
      </c>
      <c r="D11" s="15"/>
      <c r="E11" s="15"/>
      <c r="F11" s="16"/>
      <c r="G11" s="7" t="s">
        <v>1</v>
      </c>
      <c r="H11" s="8"/>
      <c r="I11" s="8"/>
      <c r="J11" s="9"/>
      <c r="K11" s="28">
        <v>0.7</v>
      </c>
      <c r="L11" s="29"/>
    </row>
    <row r="12" spans="3:12" x14ac:dyDescent="0.25">
      <c r="C12" s="10" t="s">
        <v>6</v>
      </c>
      <c r="D12" s="10"/>
      <c r="E12" s="10"/>
      <c r="F12" s="22"/>
      <c r="G12" s="10"/>
      <c r="H12" s="10"/>
      <c r="I12" s="10"/>
      <c r="J12" s="10"/>
      <c r="K12" s="25"/>
      <c r="L12" s="27"/>
    </row>
    <row r="13" spans="3:12" x14ac:dyDescent="0.25">
      <c r="C13" s="17" t="s">
        <v>12</v>
      </c>
      <c r="D13" s="17"/>
      <c r="E13" s="17"/>
      <c r="F13" s="17"/>
      <c r="G13" s="7" t="s">
        <v>35</v>
      </c>
      <c r="H13" s="8"/>
      <c r="I13" s="8"/>
      <c r="J13" s="9"/>
      <c r="K13" s="28">
        <v>1</v>
      </c>
      <c r="L13" s="29"/>
    </row>
    <row r="14" spans="3:12" x14ac:dyDescent="0.25">
      <c r="C14" s="17" t="s">
        <v>13</v>
      </c>
      <c r="D14" s="17"/>
      <c r="E14" s="17"/>
      <c r="F14" s="17"/>
      <c r="G14" s="7" t="s">
        <v>35</v>
      </c>
      <c r="H14" s="8"/>
      <c r="I14" s="8"/>
      <c r="J14" s="9"/>
      <c r="K14" s="28">
        <v>1</v>
      </c>
      <c r="L14" s="29"/>
    </row>
    <row r="15" spans="3:12" x14ac:dyDescent="0.25">
      <c r="C15" s="17" t="s">
        <v>14</v>
      </c>
      <c r="D15" s="17"/>
      <c r="E15" s="17"/>
      <c r="F15" s="17"/>
      <c r="G15" s="7" t="s">
        <v>2</v>
      </c>
      <c r="H15" s="8"/>
      <c r="I15" s="8"/>
      <c r="J15" s="9"/>
      <c r="K15" s="28">
        <v>0.87</v>
      </c>
      <c r="L15" s="29"/>
    </row>
    <row r="16" spans="3:12" x14ac:dyDescent="0.25">
      <c r="C16" s="17" t="s">
        <v>15</v>
      </c>
      <c r="D16" s="17"/>
      <c r="E16" s="17"/>
      <c r="F16" s="17"/>
      <c r="G16" s="7" t="s">
        <v>35</v>
      </c>
      <c r="H16" s="8"/>
      <c r="I16" s="8"/>
      <c r="J16" s="9"/>
      <c r="K16" s="28">
        <v>1</v>
      </c>
      <c r="L16" s="29"/>
    </row>
    <row r="17" spans="3:12" x14ac:dyDescent="0.25">
      <c r="C17" s="11" t="s">
        <v>7</v>
      </c>
      <c r="D17" s="12"/>
      <c r="E17" s="12"/>
      <c r="F17" s="13"/>
      <c r="G17" s="25"/>
      <c r="H17" s="26"/>
      <c r="I17" s="26"/>
      <c r="J17" s="27"/>
      <c r="K17" s="25"/>
      <c r="L17" s="27"/>
    </row>
    <row r="18" spans="3:12" x14ac:dyDescent="0.25">
      <c r="C18" s="18" t="s">
        <v>16</v>
      </c>
      <c r="D18" s="19"/>
      <c r="E18" s="19"/>
      <c r="F18" s="20"/>
      <c r="G18" s="7" t="s">
        <v>3</v>
      </c>
      <c r="H18" s="8"/>
      <c r="I18" s="8"/>
      <c r="J18" s="9"/>
      <c r="K18" s="28">
        <v>0.86</v>
      </c>
      <c r="L18" s="29"/>
    </row>
    <row r="19" spans="3:12" x14ac:dyDescent="0.25">
      <c r="C19" s="18" t="s">
        <v>17</v>
      </c>
      <c r="D19" s="19"/>
      <c r="E19" s="19"/>
      <c r="F19" s="20"/>
      <c r="G19" s="7" t="s">
        <v>4</v>
      </c>
      <c r="H19" s="8"/>
      <c r="I19" s="8"/>
      <c r="J19" s="9"/>
      <c r="K19" s="28">
        <v>0.82</v>
      </c>
      <c r="L19" s="29"/>
    </row>
    <row r="20" spans="3:12" x14ac:dyDescent="0.25">
      <c r="C20" s="18" t="s">
        <v>18</v>
      </c>
      <c r="D20" s="19"/>
      <c r="E20" s="19"/>
      <c r="F20" s="20"/>
      <c r="G20" s="7" t="s">
        <v>4</v>
      </c>
      <c r="H20" s="8"/>
      <c r="I20" s="8"/>
      <c r="J20" s="9"/>
      <c r="K20" s="28">
        <v>0.7</v>
      </c>
      <c r="L20" s="29"/>
    </row>
    <row r="21" spans="3:12" x14ac:dyDescent="0.25">
      <c r="C21" s="18" t="s">
        <v>19</v>
      </c>
      <c r="D21" s="19"/>
      <c r="E21" s="19"/>
      <c r="F21" s="20"/>
      <c r="G21" s="7" t="s">
        <v>35</v>
      </c>
      <c r="H21" s="8"/>
      <c r="I21" s="8"/>
      <c r="J21" s="9"/>
      <c r="K21" s="28">
        <v>1</v>
      </c>
      <c r="L21" s="29"/>
    </row>
    <row r="22" spans="3:12" x14ac:dyDescent="0.25">
      <c r="C22" s="18" t="s">
        <v>20</v>
      </c>
      <c r="D22" s="19"/>
      <c r="E22" s="19"/>
      <c r="F22" s="20"/>
      <c r="G22" s="7" t="s">
        <v>3</v>
      </c>
      <c r="H22" s="8"/>
      <c r="I22" s="8"/>
      <c r="J22" s="9"/>
      <c r="K22" s="28">
        <v>0.95</v>
      </c>
      <c r="L22" s="29"/>
    </row>
    <row r="23" spans="3:12" x14ac:dyDescent="0.25">
      <c r="C23" s="11" t="s">
        <v>8</v>
      </c>
      <c r="D23" s="12"/>
      <c r="E23" s="12"/>
      <c r="F23" s="13"/>
      <c r="G23" s="25"/>
      <c r="H23" s="26"/>
      <c r="I23" s="26"/>
      <c r="J23" s="27"/>
      <c r="K23" s="25"/>
      <c r="L23" s="27"/>
    </row>
    <row r="24" spans="3:12" x14ac:dyDescent="0.25">
      <c r="C24" s="18" t="s">
        <v>21</v>
      </c>
      <c r="D24" s="19"/>
      <c r="E24" s="19"/>
      <c r="F24" s="20"/>
      <c r="G24" s="7" t="s">
        <v>4</v>
      </c>
      <c r="H24" s="8"/>
      <c r="I24" s="8"/>
      <c r="J24" s="9"/>
      <c r="K24" s="28">
        <v>0.82</v>
      </c>
      <c r="L24" s="29"/>
    </row>
    <row r="25" spans="3:12" x14ac:dyDescent="0.25">
      <c r="C25" s="17" t="s">
        <v>22</v>
      </c>
      <c r="D25" s="17"/>
      <c r="E25" s="17"/>
      <c r="F25" s="17"/>
      <c r="G25" s="7" t="s">
        <v>4</v>
      </c>
      <c r="H25" s="8"/>
      <c r="I25" s="8"/>
      <c r="J25" s="9"/>
      <c r="K25" s="28">
        <v>0.83</v>
      </c>
      <c r="L25" s="29"/>
    </row>
    <row r="26" spans="3:12" x14ac:dyDescent="0.25">
      <c r="C26" s="17" t="s">
        <v>23</v>
      </c>
      <c r="D26" s="17"/>
      <c r="E26" s="17"/>
      <c r="F26" s="17"/>
      <c r="G26" s="7" t="s">
        <v>35</v>
      </c>
      <c r="H26" s="8"/>
      <c r="I26" s="8"/>
      <c r="J26" s="9"/>
      <c r="K26" s="28">
        <v>1</v>
      </c>
      <c r="L26" s="29"/>
    </row>
    <row r="30" spans="3:12" x14ac:dyDescent="0.25">
      <c r="C30" s="35" t="s">
        <v>45</v>
      </c>
      <c r="D30" s="35"/>
      <c r="E30">
        <v>2800</v>
      </c>
    </row>
    <row r="32" spans="3:12" x14ac:dyDescent="0.25">
      <c r="C32" s="32" t="s">
        <v>44</v>
      </c>
      <c r="D32" s="32"/>
      <c r="E32" s="32"/>
      <c r="F32" s="32"/>
      <c r="G32" s="32"/>
      <c r="H32" s="32"/>
      <c r="I32" s="32"/>
      <c r="J32" s="32"/>
    </row>
    <row r="33" spans="3:10" x14ac:dyDescent="0.25">
      <c r="C33" s="30" t="s">
        <v>24</v>
      </c>
      <c r="D33" s="30"/>
      <c r="E33" s="30" t="s">
        <v>36</v>
      </c>
      <c r="F33" s="30"/>
      <c r="G33" s="31" t="s">
        <v>25</v>
      </c>
      <c r="H33" s="31" t="s">
        <v>41</v>
      </c>
      <c r="I33" s="31" t="s">
        <v>42</v>
      </c>
      <c r="J33" s="31" t="s">
        <v>43</v>
      </c>
    </row>
    <row r="34" spans="3:10" x14ac:dyDescent="0.25">
      <c r="C34" s="33" t="s">
        <v>26</v>
      </c>
      <c r="D34" s="33"/>
      <c r="E34" s="34" t="s">
        <v>37</v>
      </c>
      <c r="F34" s="34"/>
      <c r="G34" s="4">
        <v>2.6</v>
      </c>
      <c r="H34" s="4">
        <v>3.6</v>
      </c>
      <c r="I34" s="4">
        <f>G34/H34</f>
        <v>0.72222222222222221</v>
      </c>
      <c r="J34" s="4">
        <f>(E30/H34)/I34</f>
        <v>1076.9230769230769</v>
      </c>
    </row>
    <row r="35" spans="3:10" x14ac:dyDescent="0.25">
      <c r="C35" s="33"/>
      <c r="D35" s="33"/>
      <c r="E35" s="34" t="s">
        <v>38</v>
      </c>
      <c r="F35" s="34"/>
      <c r="G35" s="4">
        <v>0.4</v>
      </c>
      <c r="H35" s="4">
        <v>0.7</v>
      </c>
      <c r="I35" s="4">
        <f t="shared" ref="I35:I37" si="0">G35/H35</f>
        <v>0.57142857142857151</v>
      </c>
      <c r="J35" s="4">
        <f>(E30/H35)/I35</f>
        <v>7000</v>
      </c>
    </row>
    <row r="36" spans="3:10" x14ac:dyDescent="0.25">
      <c r="C36" s="33"/>
      <c r="D36" s="33"/>
      <c r="E36" s="34" t="s">
        <v>39</v>
      </c>
      <c r="F36" s="34"/>
      <c r="G36" s="4">
        <v>1.8</v>
      </c>
      <c r="H36" s="4">
        <v>2.2999999999999998</v>
      </c>
      <c r="I36" s="4">
        <f t="shared" si="0"/>
        <v>0.78260869565217395</v>
      </c>
      <c r="J36" s="4">
        <f>(E30/H36)/I36</f>
        <v>1555.5555555555557</v>
      </c>
    </row>
    <row r="37" spans="3:10" x14ac:dyDescent="0.25">
      <c r="C37" s="33"/>
      <c r="D37" s="33"/>
      <c r="E37" s="34" t="s">
        <v>40</v>
      </c>
      <c r="F37" s="34"/>
      <c r="G37" s="4">
        <v>0.4</v>
      </c>
      <c r="H37" s="4">
        <v>0.7</v>
      </c>
      <c r="I37" s="4">
        <f t="shared" si="0"/>
        <v>0.57142857142857151</v>
      </c>
      <c r="J37" s="4">
        <f>(E30/H37)/I37</f>
        <v>7000</v>
      </c>
    </row>
  </sheetData>
  <mergeCells count="69">
    <mergeCell ref="C30:D30"/>
    <mergeCell ref="C32:J32"/>
    <mergeCell ref="C33:D33"/>
    <mergeCell ref="E33:F33"/>
    <mergeCell ref="C34:D37"/>
    <mergeCell ref="E34:F34"/>
    <mergeCell ref="E35:F35"/>
    <mergeCell ref="E36:F36"/>
    <mergeCell ref="E37:F37"/>
    <mergeCell ref="C25:F25"/>
    <mergeCell ref="G25:J25"/>
    <mergeCell ref="K25:L25"/>
    <mergeCell ref="C26:F26"/>
    <mergeCell ref="G26:J26"/>
    <mergeCell ref="K26:L26"/>
    <mergeCell ref="C23:F23"/>
    <mergeCell ref="G23:J23"/>
    <mergeCell ref="K23:L23"/>
    <mergeCell ref="C24:F24"/>
    <mergeCell ref="G24:J24"/>
    <mergeCell ref="K24:L24"/>
    <mergeCell ref="C21:F21"/>
    <mergeCell ref="G21:J21"/>
    <mergeCell ref="K21:L21"/>
    <mergeCell ref="C22:F22"/>
    <mergeCell ref="G22:J22"/>
    <mergeCell ref="K22:L22"/>
    <mergeCell ref="C19:F19"/>
    <mergeCell ref="G19:J19"/>
    <mergeCell ref="K19:L19"/>
    <mergeCell ref="C20:F20"/>
    <mergeCell ref="G20:J20"/>
    <mergeCell ref="K20:L20"/>
    <mergeCell ref="C17:F17"/>
    <mergeCell ref="G17:J17"/>
    <mergeCell ref="K17:L17"/>
    <mergeCell ref="C18:F18"/>
    <mergeCell ref="G18:J18"/>
    <mergeCell ref="K18:L18"/>
    <mergeCell ref="C15:F15"/>
    <mergeCell ref="G15:J15"/>
    <mergeCell ref="K15:L15"/>
    <mergeCell ref="C16:F16"/>
    <mergeCell ref="G16:J16"/>
    <mergeCell ref="K16:L16"/>
    <mergeCell ref="C13:F13"/>
    <mergeCell ref="G13:J13"/>
    <mergeCell ref="K13:L13"/>
    <mergeCell ref="C14:F14"/>
    <mergeCell ref="G14:J14"/>
    <mergeCell ref="K14:L14"/>
    <mergeCell ref="C11:F11"/>
    <mergeCell ref="G11:J11"/>
    <mergeCell ref="K11:L11"/>
    <mergeCell ref="C12:F12"/>
    <mergeCell ref="G12:J12"/>
    <mergeCell ref="K12:L12"/>
    <mergeCell ref="C9:F9"/>
    <mergeCell ref="G9:J9"/>
    <mergeCell ref="K9:L9"/>
    <mergeCell ref="C10:F10"/>
    <mergeCell ref="G10:J10"/>
    <mergeCell ref="K10:L10"/>
    <mergeCell ref="C7:F7"/>
    <mergeCell ref="G7:J7"/>
    <mergeCell ref="K7:L7"/>
    <mergeCell ref="C8:F8"/>
    <mergeCell ref="G8:J8"/>
    <mergeCell ref="K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</dc:creator>
  <cp:lastModifiedBy>Mario</cp:lastModifiedBy>
  <dcterms:created xsi:type="dcterms:W3CDTF">2020-04-30T15:17:55Z</dcterms:created>
  <dcterms:modified xsi:type="dcterms:W3CDTF">2020-04-30T17:38:30Z</dcterms:modified>
</cp:coreProperties>
</file>