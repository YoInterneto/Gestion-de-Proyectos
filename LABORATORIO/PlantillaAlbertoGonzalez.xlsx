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avier\Documents\GitHub\Gestion-de-Proyectos\LABORATORIO\"/>
    </mc:Choice>
  </mc:AlternateContent>
  <xr:revisionPtr revIDLastSave="0" documentId="13_ncr:1_{E88917E1-37C2-48B4-8A89-DCE7EC528292}" xr6:coauthVersionLast="44" xr6:coauthVersionMax="44" xr10:uidLastSave="{00000000-0000-0000-0000-000000000000}"/>
  <bookViews>
    <workbookView xWindow="-120" yWindow="-120" windowWidth="29040" windowHeight="15840" xr2:uid="{3EAC4CDE-D374-488D-8C8A-A6FF8013382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89" i="1" l="1"/>
  <c r="G89" i="1"/>
  <c r="H89" i="1"/>
  <c r="I89" i="1"/>
  <c r="E89" i="1"/>
  <c r="F88" i="1"/>
  <c r="G88" i="1"/>
  <c r="H88" i="1"/>
  <c r="I88" i="1"/>
  <c r="E88" i="1"/>
  <c r="F77" i="1"/>
  <c r="G77" i="1"/>
  <c r="H77" i="1"/>
  <c r="I77" i="1"/>
  <c r="E77" i="1"/>
  <c r="F76" i="1"/>
  <c r="G76" i="1"/>
  <c r="H76" i="1"/>
  <c r="I76" i="1"/>
  <c r="E76" i="1"/>
  <c r="Q36" i="1"/>
  <c r="P36" i="1"/>
  <c r="O36" i="1"/>
  <c r="N36" i="1"/>
  <c r="M36" i="1"/>
  <c r="Q35" i="1"/>
  <c r="P35" i="1"/>
  <c r="O35" i="1"/>
  <c r="N35" i="1"/>
  <c r="M35" i="1"/>
  <c r="Q37" i="1"/>
  <c r="P37" i="1"/>
  <c r="O37" i="1"/>
  <c r="O38" i="1" s="1"/>
  <c r="N37" i="1"/>
  <c r="M37" i="1"/>
  <c r="Q34" i="1"/>
  <c r="P34" i="1"/>
  <c r="O34" i="1"/>
  <c r="N34" i="1"/>
  <c r="M34" i="1"/>
  <c r="Q33" i="1"/>
  <c r="P33" i="1"/>
  <c r="O33" i="1"/>
  <c r="N33" i="1"/>
  <c r="M33" i="1"/>
  <c r="Q32" i="1"/>
  <c r="P32" i="1"/>
  <c r="O32" i="1"/>
  <c r="N32" i="1"/>
  <c r="M32" i="1"/>
  <c r="Q31" i="1"/>
  <c r="P31" i="1"/>
  <c r="O31" i="1"/>
  <c r="N31" i="1"/>
  <c r="M31" i="1"/>
  <c r="Q30" i="1"/>
  <c r="Q38" i="1" s="1"/>
  <c r="P30" i="1"/>
  <c r="P38" i="1" s="1"/>
  <c r="O30" i="1"/>
  <c r="N30" i="1"/>
  <c r="N38" i="1" s="1"/>
  <c r="M30" i="1"/>
  <c r="M38" i="1" s="1"/>
  <c r="I48" i="1" l="1"/>
  <c r="I47" i="1"/>
  <c r="I41" i="1"/>
  <c r="I44" i="1"/>
  <c r="I43" i="1"/>
  <c r="I42" i="1"/>
  <c r="I38" i="1"/>
  <c r="I37" i="1"/>
  <c r="I36" i="1"/>
  <c r="I35" i="1"/>
  <c r="I32" i="1"/>
  <c r="I31" i="1"/>
  <c r="I30" i="1"/>
  <c r="I33" i="1" l="1"/>
  <c r="E55" i="1" s="1"/>
  <c r="I45" i="1"/>
  <c r="E57" i="1" s="1"/>
  <c r="I39" i="1"/>
  <c r="E56" i="1" s="1"/>
  <c r="I49" i="1"/>
  <c r="E58" i="1" s="1"/>
  <c r="G7" i="1"/>
  <c r="H7" i="1"/>
  <c r="I7" i="1"/>
  <c r="J7" i="1"/>
  <c r="K7" i="1"/>
  <c r="G11" i="1"/>
  <c r="H11" i="1"/>
  <c r="I11" i="1"/>
  <c r="J11" i="1"/>
  <c r="K11" i="1"/>
  <c r="G20" i="1"/>
  <c r="H20" i="1"/>
  <c r="I20" i="1"/>
  <c r="J20" i="1"/>
  <c r="K20" i="1"/>
  <c r="G55" i="1" l="1"/>
  <c r="H55" i="1"/>
  <c r="E65" i="1"/>
  <c r="E86" i="1" s="1"/>
  <c r="E63" i="1"/>
  <c r="E84" i="1" s="1"/>
  <c r="F55" i="1"/>
  <c r="I55" i="1"/>
  <c r="H56" i="1"/>
  <c r="G56" i="1"/>
  <c r="G64" i="1" s="1"/>
  <c r="G85" i="1" s="1"/>
  <c r="F56" i="1"/>
  <c r="E64" i="1"/>
  <c r="E85" i="1" s="1"/>
  <c r="I56" i="1"/>
  <c r="H58" i="1"/>
  <c r="F58" i="1"/>
  <c r="I58" i="1"/>
  <c r="G58" i="1"/>
  <c r="F57" i="1"/>
  <c r="H57" i="1"/>
  <c r="G57" i="1"/>
  <c r="I57" i="1"/>
  <c r="I50" i="1"/>
  <c r="H22" i="1"/>
  <c r="I22" i="1"/>
  <c r="K22" i="1"/>
  <c r="J22" i="1"/>
  <c r="G22" i="1"/>
  <c r="I64" i="1" l="1"/>
  <c r="I85" i="1" s="1"/>
  <c r="H64" i="1"/>
  <c r="H85" i="1" s="1"/>
  <c r="F63" i="1"/>
  <c r="F84" i="1" s="1"/>
  <c r="F65" i="1"/>
  <c r="F86" i="1" s="1"/>
  <c r="H63" i="1"/>
  <c r="H84" i="1" s="1"/>
  <c r="H65" i="1"/>
  <c r="H86" i="1" s="1"/>
  <c r="I65" i="1"/>
  <c r="I86" i="1" s="1"/>
  <c r="I63" i="1"/>
  <c r="I84" i="1" s="1"/>
  <c r="F64" i="1"/>
  <c r="F85" i="1" s="1"/>
  <c r="G63" i="1"/>
  <c r="G84" i="1" s="1"/>
  <c r="G65" i="1"/>
  <c r="G86" i="1" s="1"/>
</calcChain>
</file>

<file path=xl/sharedStrings.xml><?xml version="1.0" encoding="utf-8"?>
<sst xmlns="http://schemas.openxmlformats.org/spreadsheetml/2006/main" count="135" uniqueCount="73">
  <si>
    <t>INVERSIONES</t>
  </si>
  <si>
    <t>AÑO 1</t>
  </si>
  <si>
    <t>AÑO 2</t>
  </si>
  <si>
    <t>AÑO 3</t>
  </si>
  <si>
    <t>AÑO 4</t>
  </si>
  <si>
    <t>AÑO 5</t>
  </si>
  <si>
    <t>1. Gastos de constitución y primer establecimiento</t>
  </si>
  <si>
    <t>Gastos de constitución</t>
  </si>
  <si>
    <t>Gastos de primer establecimiento</t>
  </si>
  <si>
    <t>Total de Gastos de constitución y primer establecimiento</t>
  </si>
  <si>
    <t>2. Inmovilizaciones Inmateriales</t>
  </si>
  <si>
    <t>Aplicaciones informáticas</t>
  </si>
  <si>
    <t>Total de Inmovilización Inmateriales</t>
  </si>
  <si>
    <t>3. Inmovilizaciones Materiales</t>
  </si>
  <si>
    <t xml:space="preserve">Construcciones </t>
  </si>
  <si>
    <t>Maquinaria</t>
  </si>
  <si>
    <t>Mobiliario</t>
  </si>
  <si>
    <t>Elementos de transporte</t>
  </si>
  <si>
    <t>Total de Inmovilizaciones Materiales</t>
  </si>
  <si>
    <t>Total de Inversiones</t>
  </si>
  <si>
    <t>SALUD ESTRUCTURAL Y CONTROL DE EDIFICIOS</t>
  </si>
  <si>
    <t>Precio medio</t>
  </si>
  <si>
    <t>Unidades vendidas</t>
  </si>
  <si>
    <t>Ingresos</t>
  </si>
  <si>
    <t>Sistemas de detección de presencia y sensores de nivel de agua y temperatura</t>
  </si>
  <si>
    <t>Sensores de vibración e impacto</t>
  </si>
  <si>
    <t>Sistemas de contol de unidades de CC (válvulas de riego, termostatos, sistemas de iluminación, motores, PLC, etc)</t>
  </si>
  <si>
    <t>AGRICULTURA DE PRECISIÓN</t>
  </si>
  <si>
    <t>Sistemas de riego</t>
  </si>
  <si>
    <t>Estaciones meteorológicas</t>
  </si>
  <si>
    <t>Sistemas de gestión de invernadero</t>
  </si>
  <si>
    <t>Sistemas de detección de crecimiento y diámetro del fruto</t>
  </si>
  <si>
    <t>Unidades vendidos</t>
  </si>
  <si>
    <t>TOTAL</t>
  </si>
  <si>
    <t>CONTROL MEDIOAMBIENTAL</t>
  </si>
  <si>
    <t>Sistemas de monitorización de la contaminación de la ciudad</t>
  </si>
  <si>
    <t>Sistema de control de emisiones de granjas y criaderos</t>
  </si>
  <si>
    <t>Sistemas de detección de incendios forestales</t>
  </si>
  <si>
    <t>Control de procesos químicos e industriales</t>
  </si>
  <si>
    <t>Sistema de detección de establecimientos gratuitos al aire libre / cubierto</t>
  </si>
  <si>
    <t>Sistemas de información de estacionamiento disponible</t>
  </si>
  <si>
    <t>GESTION DE TRÁFICO</t>
  </si>
  <si>
    <t>PREVISION DE INGRESOS</t>
  </si>
  <si>
    <t>SALUD ESTRUCTURAL Y CONTROL DE EDIFCIOS</t>
  </si>
  <si>
    <t>GESTION DE TRAFICO</t>
  </si>
  <si>
    <t>ESCENARIO 1 (1+4)</t>
  </si>
  <si>
    <t>ESCENARIO 2 (2+3)</t>
  </si>
  <si>
    <t>ESCENARIO 3 (1+2+3+4)</t>
  </si>
  <si>
    <t>Gastos de personal</t>
  </si>
  <si>
    <t>Alquileres</t>
  </si>
  <si>
    <t>Gastos generales</t>
  </si>
  <si>
    <t>Seguros y tributos</t>
  </si>
  <si>
    <t>Aprovisionamientos</t>
  </si>
  <si>
    <t>Otros</t>
  </si>
  <si>
    <t>Amortizaciones</t>
  </si>
  <si>
    <t>COSTES FIJOS (€)</t>
  </si>
  <si>
    <t xml:space="preserve">AÑO 2 </t>
  </si>
  <si>
    <t>INGRESOS TOTALES</t>
  </si>
  <si>
    <t>COSTES FIJOS</t>
  </si>
  <si>
    <t>AMORTIZACIONES</t>
  </si>
  <si>
    <t>GASTOS VARIABLES</t>
  </si>
  <si>
    <t>BENEFICIOS</t>
  </si>
  <si>
    <t>IMPUESTOS</t>
  </si>
  <si>
    <t>BENEFICIOS NETOS</t>
  </si>
  <si>
    <t>BENEFICIOS ACUMULADOS</t>
  </si>
  <si>
    <t>Año 1</t>
  </si>
  <si>
    <t>Año 2</t>
  </si>
  <si>
    <t>Año 3</t>
  </si>
  <si>
    <t>Año 4</t>
  </si>
  <si>
    <t>Año 5</t>
  </si>
  <si>
    <t>Equipos informáticos</t>
  </si>
  <si>
    <t>Equipos para procesos de prototipado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</si>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</sst>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0" fillId="0" borderId="0" xfId="0" applyAlignment="1">
      <alignment horizontal="left"/>
    </xf>
    <xf numFmtId="0" fontId="1" fillId="2" borderId="1" xfId="0" applyFont="1" applyFill="1" applyBorder="1" applyAlignment="1">
      <alignment horizontal="center"/>
    </xf>
    <xf numFmtId="0" fontId="0" fillId="3" borderId="1" xfId="0" applyFill="1" applyBorder="1"/>
    <xf numFmtId="0" fontId="0" fillId="0" borderId="1" xfId="0" applyBorder="1" applyAlignment="1">
      <alignment horizontal="right"/>
    </xf>
    <xf numFmtId="0" fontId="0" fillId="3" borderId="1" xfId="0" applyFill="1" applyBorder="1" applyAlignment="1">
      <alignment horizontal="right"/>
    </xf>
    <xf numFmtId="0" fontId="0" fillId="0" borderId="1" xfId="0" applyBorder="1"/>
    <xf numFmtId="0" fontId="1" fillId="5" borderId="1" xfId="0" applyFont="1" applyFill="1" applyBorder="1" applyAlignment="1">
      <alignment horizontal="center" vertical="top" wrapText="1"/>
    </xf>
    <xf numFmtId="0" fontId="1" fillId="5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wrapText="1"/>
    </xf>
    <xf numFmtId="0" fontId="1" fillId="0" borderId="1" xfId="0" applyFont="1" applyBorder="1" applyAlignment="1">
      <alignment horizontal="right"/>
    </xf>
    <xf numFmtId="0" fontId="0" fillId="0" borderId="1" xfId="0" applyBorder="1" applyAlignment="1">
      <alignment horizontal="right" vertical="center"/>
    </xf>
    <xf numFmtId="0" fontId="0" fillId="0" borderId="0" xfId="0" applyBorder="1" applyAlignment="1">
      <alignment horizontal="right" vertical="center"/>
    </xf>
    <xf numFmtId="0" fontId="0" fillId="0" borderId="1" xfId="0" applyBorder="1" applyAlignment="1">
      <alignment horizontal="center" vertical="center"/>
    </xf>
    <xf numFmtId="0" fontId="1" fillId="6" borderId="1" xfId="0" applyFont="1" applyFill="1" applyBorder="1" applyAlignment="1">
      <alignment horizontal="center"/>
    </xf>
    <xf numFmtId="0" fontId="0" fillId="8" borderId="1" xfId="0" applyFill="1" applyBorder="1"/>
    <xf numFmtId="0" fontId="0" fillId="11" borderId="1" xfId="0" applyFill="1" applyBorder="1"/>
    <xf numFmtId="0" fontId="0" fillId="14" borderId="1" xfId="0" applyFill="1" applyBorder="1"/>
    <xf numFmtId="0" fontId="0" fillId="16" borderId="1" xfId="0" applyFill="1" applyBorder="1"/>
    <xf numFmtId="0" fontId="0" fillId="18" borderId="1" xfId="0" applyFill="1" applyBorder="1"/>
    <xf numFmtId="0" fontId="0" fillId="17" borderId="2" xfId="0" applyFill="1" applyBorder="1" applyAlignment="1">
      <alignment horizontal="left"/>
    </xf>
    <xf numFmtId="0" fontId="0" fillId="17" borderId="3" xfId="0" applyFill="1" applyBorder="1" applyAlignment="1">
      <alignment horizontal="left"/>
    </xf>
    <xf numFmtId="0" fontId="0" fillId="17" borderId="4" xfId="0" applyFill="1" applyBorder="1" applyAlignment="1">
      <alignment horizontal="left"/>
    </xf>
    <xf numFmtId="0" fontId="0" fillId="0" borderId="6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1" fillId="19" borderId="2" xfId="0" applyFont="1" applyFill="1" applyBorder="1" applyAlignment="1">
      <alignment horizontal="left"/>
    </xf>
    <xf numFmtId="0" fontId="1" fillId="19" borderId="3" xfId="0" applyFont="1" applyFill="1" applyBorder="1" applyAlignment="1">
      <alignment horizontal="left"/>
    </xf>
    <xf numFmtId="0" fontId="1" fillId="19" borderId="4" xfId="0" applyFont="1" applyFill="1" applyBorder="1" applyAlignment="1">
      <alignment horizontal="left"/>
    </xf>
    <xf numFmtId="0" fontId="0" fillId="15" borderId="2" xfId="0" applyFill="1" applyBorder="1" applyAlignment="1">
      <alignment horizontal="left"/>
    </xf>
    <xf numFmtId="0" fontId="0" fillId="15" borderId="3" xfId="0" applyFill="1" applyBorder="1" applyAlignment="1">
      <alignment horizontal="left"/>
    </xf>
    <xf numFmtId="0" fontId="0" fillId="15" borderId="4" xfId="0" applyFill="1" applyBorder="1" applyAlignment="1">
      <alignment horizontal="left"/>
    </xf>
    <xf numFmtId="0" fontId="0" fillId="13" borderId="2" xfId="0" applyFill="1" applyBorder="1" applyAlignment="1">
      <alignment horizontal="left"/>
    </xf>
    <xf numFmtId="0" fontId="0" fillId="13" borderId="3" xfId="0" applyFill="1" applyBorder="1" applyAlignment="1">
      <alignment horizontal="left"/>
    </xf>
    <xf numFmtId="0" fontId="0" fillId="13" borderId="4" xfId="0" applyFill="1" applyBorder="1" applyAlignment="1">
      <alignment horizontal="left"/>
    </xf>
    <xf numFmtId="0" fontId="1" fillId="5" borderId="2" xfId="0" applyFont="1" applyFill="1" applyBorder="1" applyAlignment="1">
      <alignment horizontal="left"/>
    </xf>
    <xf numFmtId="0" fontId="1" fillId="5" borderId="3" xfId="0" applyFont="1" applyFill="1" applyBorder="1" applyAlignment="1">
      <alignment horizontal="left"/>
    </xf>
    <xf numFmtId="0" fontId="1" fillId="5" borderId="4" xfId="0" applyFont="1" applyFill="1" applyBorder="1" applyAlignment="1">
      <alignment horizontal="left"/>
    </xf>
    <xf numFmtId="0" fontId="0" fillId="10" borderId="2" xfId="0" applyFill="1" applyBorder="1" applyAlignment="1">
      <alignment horizontal="left"/>
    </xf>
    <xf numFmtId="0" fontId="0" fillId="10" borderId="3" xfId="0" applyFill="1" applyBorder="1" applyAlignment="1">
      <alignment horizontal="left"/>
    </xf>
    <xf numFmtId="0" fontId="0" fillId="10" borderId="4" xfId="0" applyFill="1" applyBorder="1" applyAlignment="1">
      <alignment horizontal="left"/>
    </xf>
    <xf numFmtId="0" fontId="1" fillId="12" borderId="2" xfId="0" applyFont="1" applyFill="1" applyBorder="1" applyAlignment="1">
      <alignment horizontal="left"/>
    </xf>
    <xf numFmtId="0" fontId="1" fillId="12" borderId="3" xfId="0" applyFont="1" applyFill="1" applyBorder="1" applyAlignment="1">
      <alignment horizontal="left"/>
    </xf>
    <xf numFmtId="0" fontId="1" fillId="12" borderId="4" xfId="0" applyFont="1" applyFill="1" applyBorder="1" applyAlignment="1">
      <alignment horizontal="left"/>
    </xf>
    <xf numFmtId="0" fontId="1" fillId="9" borderId="2" xfId="0" applyFont="1" applyFill="1" applyBorder="1" applyAlignment="1">
      <alignment horizontal="left"/>
    </xf>
    <xf numFmtId="0" fontId="1" fillId="9" borderId="3" xfId="0" applyFont="1" applyFill="1" applyBorder="1" applyAlignment="1">
      <alignment horizontal="left"/>
    </xf>
    <xf numFmtId="0" fontId="1" fillId="9" borderId="4" xfId="0" applyFont="1" applyFill="1" applyBorder="1" applyAlignment="1">
      <alignment horizontal="left"/>
    </xf>
    <xf numFmtId="0" fontId="0" fillId="7" borderId="2" xfId="0" applyFill="1" applyBorder="1" applyAlignment="1">
      <alignment horizontal="left"/>
    </xf>
    <xf numFmtId="0" fontId="0" fillId="7" borderId="3" xfId="0" applyFill="1" applyBorder="1" applyAlignment="1">
      <alignment horizontal="left"/>
    </xf>
    <xf numFmtId="0" fontId="0" fillId="7" borderId="4" xfId="0" applyFill="1" applyBorder="1" applyAlignment="1">
      <alignment horizontal="left"/>
    </xf>
    <xf numFmtId="0" fontId="0" fillId="6" borderId="2" xfId="0" applyFill="1" applyBorder="1" applyAlignment="1">
      <alignment horizontal="left"/>
    </xf>
    <xf numFmtId="0" fontId="0" fillId="6" borderId="3" xfId="0" applyFill="1" applyBorder="1" applyAlignment="1">
      <alignment horizontal="left"/>
    </xf>
    <xf numFmtId="0" fontId="0" fillId="6" borderId="4" xfId="0" applyFill="1" applyBorder="1" applyAlignment="1">
      <alignment horizontal="left"/>
    </xf>
    <xf numFmtId="0" fontId="1" fillId="6" borderId="2" xfId="0" applyFont="1" applyFill="1" applyBorder="1" applyAlignment="1">
      <alignment horizontal="left"/>
    </xf>
    <xf numFmtId="0" fontId="1" fillId="6" borderId="3" xfId="0" applyFont="1" applyFill="1" applyBorder="1" applyAlignment="1">
      <alignment horizontal="left"/>
    </xf>
    <xf numFmtId="0" fontId="1" fillId="6" borderId="4" xfId="0" applyFont="1" applyFill="1" applyBorder="1" applyAlignment="1">
      <alignment horizontal="left"/>
    </xf>
    <xf numFmtId="0" fontId="1" fillId="4" borderId="2" xfId="0" applyFont="1" applyFill="1" applyBorder="1" applyAlignment="1">
      <alignment horizontal="left"/>
    </xf>
    <xf numFmtId="0" fontId="0" fillId="4" borderId="3" xfId="0" applyFill="1" applyBorder="1" applyAlignment="1">
      <alignment horizontal="left"/>
    </xf>
    <xf numFmtId="0" fontId="0" fillId="4" borderId="4" xfId="0" applyFill="1" applyBorder="1" applyAlignment="1">
      <alignment horizontal="left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5" borderId="4" xfId="0" applyFont="1" applyFill="1" applyBorder="1" applyAlignment="1">
      <alignment horizontal="center"/>
    </xf>
    <xf numFmtId="0" fontId="0" fillId="6" borderId="2" xfId="0" applyFill="1" applyBorder="1" applyAlignment="1">
      <alignment horizontal="left" wrapText="1"/>
    </xf>
    <xf numFmtId="0" fontId="0" fillId="6" borderId="3" xfId="0" applyFill="1" applyBorder="1" applyAlignment="1">
      <alignment horizontal="left" wrapText="1"/>
    </xf>
    <xf numFmtId="0" fontId="0" fillId="6" borderId="4" xfId="0" applyFill="1" applyBorder="1" applyAlignment="1">
      <alignment horizontal="left" wrapText="1"/>
    </xf>
    <xf numFmtId="0" fontId="1" fillId="5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0" fillId="5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left"/>
    </xf>
    <xf numFmtId="0" fontId="1" fillId="2" borderId="1" xfId="0" applyFont="1" applyFill="1" applyBorder="1" applyAlignment="1">
      <alignment horizontal="center"/>
    </xf>
    <xf numFmtId="0" fontId="0" fillId="4" borderId="1" xfId="0" applyFill="1" applyBorder="1" applyAlignment="1">
      <alignment horizontal="left"/>
    </xf>
    <xf numFmtId="0" fontId="0" fillId="0" borderId="1" xfId="0" applyBorder="1" applyAlignment="1">
      <alignment horizontal="center"/>
    </xf>
    <xf numFmtId="0" fontId="0" fillId="0" borderId="0" xfId="0" applyAlignment="1">
      <alignment horizontal="left" vertical="center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20" borderId="1" xfId="0" applyFill="1" applyBorder="1"/>
    <xf numFmtId="0" fontId="0" fillId="6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Hoja1!$B$4</c:f>
              <c:strCache>
                <c:ptCount val="1"/>
                <c:pt idx="0">
                  <c:v>1. Gastos de constitución y primer establecimiento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(Hoja1!$G$7,Hoja1!$H$7,Hoja1!$I$7,Hoja1!$J$7,Hoja1!$K$7)</c:f>
              <c:numCache>
                <c:formatCode>General</c:formatCode>
                <c:ptCount val="5"/>
                <c:pt idx="0">
                  <c:v>4000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AD65-4204-A7DD-C05D7CCE5991}"/>
            </c:ext>
          </c:extLst>
        </c:ser>
        <c:ser>
          <c:idx val="1"/>
          <c:order val="1"/>
          <c:tx>
            <c:strRef>
              <c:f>Hoja1!$B$9</c:f>
              <c:strCache>
                <c:ptCount val="1"/>
                <c:pt idx="0">
                  <c:v>2. Inmovilizaciones Inmateriales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(Hoja1!$G$11,Hoja1!$H$11,Hoja1!$J$11,Hoja1!$I$11,Hoja1!$K$11)</c:f>
              <c:numCache>
                <c:formatCode>General</c:formatCode>
                <c:ptCount val="5"/>
                <c:pt idx="0">
                  <c:v>2700</c:v>
                </c:pt>
                <c:pt idx="1">
                  <c:v>0</c:v>
                </c:pt>
                <c:pt idx="2">
                  <c:v>0</c:v>
                </c:pt>
                <c:pt idx="3">
                  <c:v>3600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AD65-4204-A7DD-C05D7CCE5991}"/>
            </c:ext>
          </c:extLst>
        </c:ser>
        <c:ser>
          <c:idx val="2"/>
          <c:order val="2"/>
          <c:tx>
            <c:strRef>
              <c:f>Hoja1!$B$13</c:f>
              <c:strCache>
                <c:ptCount val="1"/>
                <c:pt idx="0">
                  <c:v>3. Inmovilizaciones Materiales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(Hoja1!$G$20,Hoja1!$H$20,Hoja1!$H$20,Hoja1!$I$20,Hoja1!$J$20,Hoja1!$K$20)</c:f>
              <c:numCache>
                <c:formatCode>General</c:formatCode>
                <c:ptCount val="6"/>
                <c:pt idx="0">
                  <c:v>43300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20000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AD65-4204-A7DD-C05D7CCE599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gapDepth val="75"/>
        <c:shape val="box"/>
        <c:axId val="1251616080"/>
        <c:axId val="1094884896"/>
        <c:axId val="0"/>
      </c:bar3DChart>
      <c:catAx>
        <c:axId val="125161608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AÑO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94884896"/>
        <c:crosses val="autoZero"/>
        <c:auto val="1"/>
        <c:lblAlgn val="ctr"/>
        <c:lblOffset val="100"/>
        <c:noMultiLvlLbl val="0"/>
      </c:catAx>
      <c:valAx>
        <c:axId val="1094884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INVERSION €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51616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228600</xdr:colOff>
      <xdr:row>2</xdr:row>
      <xdr:rowOff>19049</xdr:rowOff>
    </xdr:from>
    <xdr:to>
      <xdr:col>20</xdr:col>
      <xdr:colOff>123825</xdr:colOff>
      <xdr:row>22</xdr:row>
      <xdr:rowOff>47624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FE269EE-C7B7-47E9-A2DB-CD3DAD7FC8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D7910-A5B9-4DC6-9781-64D99FA28BA6}">
  <dimension ref="B3:Q114"/>
  <sheetViews>
    <sheetView tabSelected="1" topLeftCell="A69" workbookViewId="0">
      <selection activeCell="E92" sqref="E92"/>
    </sheetView>
  </sheetViews>
  <sheetFormatPr baseColWidth="10" defaultRowHeight="15" x14ac:dyDescent="0.25"/>
  <cols>
    <col min="7" max="7" width="12" customWidth="1"/>
    <col min="8" max="8" width="12.7109375" customWidth="1"/>
    <col min="9" max="9" width="12.28515625" customWidth="1"/>
    <col min="10" max="10" width="14.85546875" customWidth="1"/>
    <col min="11" max="11" width="12.140625" customWidth="1"/>
    <col min="12" max="12" width="35" customWidth="1"/>
  </cols>
  <sheetData>
    <row r="3" spans="2:11" x14ac:dyDescent="0.25">
      <c r="B3" s="73" t="s">
        <v>0</v>
      </c>
      <c r="C3" s="73"/>
      <c r="D3" s="73"/>
      <c r="E3" s="73"/>
      <c r="F3" s="73"/>
      <c r="G3" s="2" t="s">
        <v>1</v>
      </c>
      <c r="H3" s="2" t="s">
        <v>2</v>
      </c>
      <c r="I3" s="2" t="s">
        <v>3</v>
      </c>
      <c r="J3" s="2" t="s">
        <v>4</v>
      </c>
      <c r="K3" s="2" t="s">
        <v>5</v>
      </c>
    </row>
    <row r="4" spans="2:11" x14ac:dyDescent="0.25">
      <c r="B4" s="74" t="s">
        <v>6</v>
      </c>
      <c r="C4" s="74"/>
      <c r="D4" s="74"/>
      <c r="E4" s="74"/>
      <c r="F4" s="74"/>
      <c r="G4" s="74"/>
      <c r="H4" s="74"/>
      <c r="I4" s="74"/>
      <c r="J4" s="74"/>
      <c r="K4" s="74"/>
    </row>
    <row r="5" spans="2:11" x14ac:dyDescent="0.25">
      <c r="B5" s="70" t="s">
        <v>7</v>
      </c>
      <c r="C5" s="70"/>
      <c r="D5" s="70"/>
      <c r="E5" s="70"/>
      <c r="F5" s="70"/>
      <c r="G5" s="4">
        <v>1500</v>
      </c>
      <c r="H5" s="4"/>
      <c r="I5" s="4"/>
      <c r="J5" s="4"/>
      <c r="K5" s="4"/>
    </row>
    <row r="6" spans="2:11" x14ac:dyDescent="0.25">
      <c r="B6" s="70" t="s">
        <v>8</v>
      </c>
      <c r="C6" s="70"/>
      <c r="D6" s="70"/>
      <c r="E6" s="70"/>
      <c r="F6" s="70"/>
      <c r="G6" s="4">
        <v>2500</v>
      </c>
      <c r="H6" s="4"/>
      <c r="I6" s="4"/>
      <c r="J6" s="4"/>
      <c r="K6" s="4"/>
    </row>
    <row r="7" spans="2:11" x14ac:dyDescent="0.25">
      <c r="B7" s="72" t="s">
        <v>9</v>
      </c>
      <c r="C7" s="72"/>
      <c r="D7" s="72"/>
      <c r="E7" s="72"/>
      <c r="F7" s="72"/>
      <c r="G7" s="5">
        <f>SUM(G5,G6)</f>
        <v>4000</v>
      </c>
      <c r="H7" s="5">
        <f>SUM(H5,H6)</f>
        <v>0</v>
      </c>
      <c r="I7" s="5">
        <f>SUM(I5,I6)</f>
        <v>0</v>
      </c>
      <c r="J7" s="5">
        <f>SUM(J5,J6)</f>
        <v>0</v>
      </c>
      <c r="K7" s="5">
        <f>SUM(K5,K6)</f>
        <v>0</v>
      </c>
    </row>
    <row r="8" spans="2:11" x14ac:dyDescent="0.25">
      <c r="B8" s="70"/>
      <c r="C8" s="70"/>
      <c r="D8" s="70"/>
      <c r="E8" s="70"/>
      <c r="F8" s="70"/>
      <c r="G8" s="70"/>
      <c r="H8" s="70"/>
      <c r="I8" s="70"/>
      <c r="J8" s="70"/>
      <c r="K8" s="70"/>
    </row>
    <row r="9" spans="2:11" x14ac:dyDescent="0.25">
      <c r="B9" s="74" t="s">
        <v>10</v>
      </c>
      <c r="C9" s="74"/>
      <c r="D9" s="74"/>
      <c r="E9" s="74"/>
      <c r="F9" s="74"/>
      <c r="G9" s="74"/>
      <c r="H9" s="74"/>
      <c r="I9" s="74"/>
      <c r="J9" s="74"/>
      <c r="K9" s="74"/>
    </row>
    <row r="10" spans="2:11" x14ac:dyDescent="0.25">
      <c r="B10" s="70" t="s">
        <v>11</v>
      </c>
      <c r="C10" s="70"/>
      <c r="D10" s="70"/>
      <c r="E10" s="70"/>
      <c r="F10" s="70"/>
      <c r="G10" s="4">
        <v>2700</v>
      </c>
      <c r="H10" s="4"/>
      <c r="I10" s="4">
        <v>3600</v>
      </c>
      <c r="J10" s="4"/>
      <c r="K10" s="4"/>
    </row>
    <row r="11" spans="2:11" x14ac:dyDescent="0.25">
      <c r="B11" s="72" t="s">
        <v>12</v>
      </c>
      <c r="C11" s="72"/>
      <c r="D11" s="72"/>
      <c r="E11" s="72"/>
      <c r="F11" s="72"/>
      <c r="G11" s="5">
        <f>SUM(G10)</f>
        <v>2700</v>
      </c>
      <c r="H11" s="5">
        <f>SUM(H10)</f>
        <v>0</v>
      </c>
      <c r="I11" s="5">
        <f>SUM(I10)</f>
        <v>3600</v>
      </c>
      <c r="J11" s="5">
        <f>SUM(J10)</f>
        <v>0</v>
      </c>
      <c r="K11" s="5">
        <f>SUM(K10)</f>
        <v>0</v>
      </c>
    </row>
    <row r="12" spans="2:11" x14ac:dyDescent="0.25">
      <c r="B12" s="70"/>
      <c r="C12" s="70"/>
      <c r="D12" s="70"/>
      <c r="E12" s="70"/>
      <c r="F12" s="70"/>
      <c r="G12" s="70"/>
      <c r="H12" s="70"/>
      <c r="I12" s="70"/>
      <c r="J12" s="70"/>
      <c r="K12" s="70"/>
    </row>
    <row r="13" spans="2:11" x14ac:dyDescent="0.25">
      <c r="B13" s="74" t="s">
        <v>13</v>
      </c>
      <c r="C13" s="74"/>
      <c r="D13" s="74"/>
      <c r="E13" s="74"/>
      <c r="F13" s="74"/>
      <c r="G13" s="74"/>
      <c r="H13" s="74"/>
      <c r="I13" s="74"/>
      <c r="J13" s="74"/>
      <c r="K13" s="74"/>
    </row>
    <row r="14" spans="2:11" x14ac:dyDescent="0.25">
      <c r="B14" s="70" t="s">
        <v>14</v>
      </c>
      <c r="C14" s="70"/>
      <c r="D14" s="70"/>
      <c r="E14" s="70"/>
      <c r="F14" s="70"/>
      <c r="G14" s="4">
        <v>3000</v>
      </c>
      <c r="H14" s="4"/>
      <c r="I14" s="4"/>
      <c r="J14" s="4"/>
      <c r="K14" s="4"/>
    </row>
    <row r="15" spans="2:11" x14ac:dyDescent="0.25">
      <c r="B15" s="70" t="s">
        <v>15</v>
      </c>
      <c r="C15" s="70"/>
      <c r="D15" s="70"/>
      <c r="E15" s="70"/>
      <c r="F15" s="70"/>
      <c r="G15" s="4">
        <v>3600</v>
      </c>
      <c r="H15" s="4"/>
      <c r="I15" s="4"/>
      <c r="J15" s="4"/>
      <c r="K15" s="4"/>
    </row>
    <row r="16" spans="2:11" x14ac:dyDescent="0.25">
      <c r="B16" s="70" t="s">
        <v>16</v>
      </c>
      <c r="C16" s="70"/>
      <c r="D16" s="70"/>
      <c r="E16" s="70"/>
      <c r="F16" s="70"/>
      <c r="G16" s="4">
        <v>3000</v>
      </c>
      <c r="H16" s="4"/>
      <c r="I16" s="4"/>
      <c r="J16" s="4"/>
      <c r="K16" s="4"/>
    </row>
    <row r="17" spans="2:17" x14ac:dyDescent="0.25">
      <c r="B17" s="77" t="s">
        <v>70</v>
      </c>
      <c r="C17" s="78"/>
      <c r="D17" s="78"/>
      <c r="E17" s="78"/>
      <c r="F17" s="79"/>
      <c r="G17" s="4">
        <v>6200</v>
      </c>
      <c r="H17" s="4"/>
      <c r="I17" s="4"/>
      <c r="J17" s="4">
        <v>5000</v>
      </c>
      <c r="K17" s="4"/>
    </row>
    <row r="18" spans="2:17" x14ac:dyDescent="0.25">
      <c r="B18" s="70" t="s">
        <v>71</v>
      </c>
      <c r="C18" s="70"/>
      <c r="D18" s="70"/>
      <c r="E18" s="70"/>
      <c r="F18" s="70"/>
      <c r="G18" s="4">
        <v>18500</v>
      </c>
      <c r="H18" s="4"/>
      <c r="I18" s="4"/>
      <c r="J18" s="4">
        <v>15000</v>
      </c>
      <c r="K18" s="4"/>
    </row>
    <row r="19" spans="2:17" x14ac:dyDescent="0.25">
      <c r="B19" s="70" t="s">
        <v>17</v>
      </c>
      <c r="C19" s="70"/>
      <c r="D19" s="70"/>
      <c r="E19" s="70"/>
      <c r="F19" s="70"/>
      <c r="G19" s="4">
        <v>9000</v>
      </c>
      <c r="H19" s="4"/>
      <c r="I19" s="4"/>
      <c r="J19" s="4"/>
      <c r="K19" s="4"/>
    </row>
    <row r="20" spans="2:17" x14ac:dyDescent="0.25">
      <c r="B20" s="72" t="s">
        <v>18</v>
      </c>
      <c r="C20" s="72"/>
      <c r="D20" s="72"/>
      <c r="E20" s="72"/>
      <c r="F20" s="72"/>
      <c r="G20" s="5">
        <f>SUM(G14:G19)</f>
        <v>43300</v>
      </c>
      <c r="H20" s="5">
        <f>SUM(H14:H19)</f>
        <v>0</v>
      </c>
      <c r="I20" s="5">
        <f>SUM(I14:I19)</f>
        <v>0</v>
      </c>
      <c r="J20" s="5">
        <f>SUM(J14:J19)</f>
        <v>20000</v>
      </c>
      <c r="K20" s="5">
        <f>SUM(K14:K19)</f>
        <v>0</v>
      </c>
    </row>
    <row r="21" spans="2:17" x14ac:dyDescent="0.25">
      <c r="B21" s="75"/>
      <c r="C21" s="75"/>
      <c r="D21" s="75"/>
      <c r="E21" s="75"/>
      <c r="F21" s="75"/>
      <c r="G21" s="75"/>
      <c r="H21" s="75"/>
      <c r="I21" s="75"/>
      <c r="J21" s="75"/>
      <c r="K21" s="75"/>
    </row>
    <row r="22" spans="2:17" x14ac:dyDescent="0.25">
      <c r="B22" s="72" t="s">
        <v>19</v>
      </c>
      <c r="C22" s="72"/>
      <c r="D22" s="72"/>
      <c r="E22" s="72"/>
      <c r="F22" s="72"/>
      <c r="G22" s="3">
        <f>SUM(G7,G11,G20)</f>
        <v>50000</v>
      </c>
      <c r="H22" s="3">
        <f>SUM(H7,H11,H20)</f>
        <v>0</v>
      </c>
      <c r="I22" s="3">
        <f>SUM(I7,I11,I20)</f>
        <v>3600</v>
      </c>
      <c r="J22" s="3">
        <f>SUM(J7,J11,J20)</f>
        <v>20000</v>
      </c>
      <c r="K22" s="3">
        <f>SUM(K7,K11,K20)</f>
        <v>0</v>
      </c>
    </row>
    <row r="29" spans="2:17" ht="30" customHeight="1" x14ac:dyDescent="0.25">
      <c r="B29" s="67" t="s">
        <v>20</v>
      </c>
      <c r="C29" s="71"/>
      <c r="D29" s="71"/>
      <c r="E29" s="71"/>
      <c r="F29" s="71"/>
      <c r="G29" s="7" t="s">
        <v>21</v>
      </c>
      <c r="H29" s="8" t="s">
        <v>22</v>
      </c>
      <c r="I29" s="8" t="s">
        <v>23</v>
      </c>
      <c r="J29" s="76"/>
      <c r="K29" s="1"/>
      <c r="L29" s="81" t="s">
        <v>54</v>
      </c>
      <c r="M29" s="81" t="s">
        <v>65</v>
      </c>
      <c r="N29" s="81" t="s">
        <v>66</v>
      </c>
      <c r="O29" s="81" t="s">
        <v>67</v>
      </c>
      <c r="P29" s="81" t="s">
        <v>68</v>
      </c>
      <c r="Q29" s="81" t="s">
        <v>69</v>
      </c>
    </row>
    <row r="30" spans="2:17" ht="33.75" customHeight="1" x14ac:dyDescent="0.25">
      <c r="B30" s="68" t="s">
        <v>24</v>
      </c>
      <c r="C30" s="68"/>
      <c r="D30" s="68"/>
      <c r="E30" s="68"/>
      <c r="F30" s="68"/>
      <c r="G30" s="11">
        <v>2500</v>
      </c>
      <c r="H30" s="11">
        <v>10</v>
      </c>
      <c r="I30" s="11">
        <f>PRODUCT(G30,H30)</f>
        <v>25000</v>
      </c>
      <c r="L30" s="15" t="s">
        <v>7</v>
      </c>
      <c r="M30" s="80">
        <f>G5*0.2</f>
        <v>300</v>
      </c>
      <c r="N30" s="80">
        <f>G5*0.2</f>
        <v>300</v>
      </c>
      <c r="O30" s="80">
        <f>G5*0.2</f>
        <v>300</v>
      </c>
      <c r="P30" s="80">
        <f>G5*0.2</f>
        <v>300</v>
      </c>
      <c r="Q30" s="80">
        <f>G5*0.2</f>
        <v>300</v>
      </c>
    </row>
    <row r="31" spans="2:17" ht="18" customHeight="1" x14ac:dyDescent="0.25">
      <c r="B31" s="69" t="s">
        <v>25</v>
      </c>
      <c r="C31" s="69"/>
      <c r="D31" s="69"/>
      <c r="E31" s="69"/>
      <c r="F31" s="69"/>
      <c r="G31" s="11">
        <v>2500</v>
      </c>
      <c r="H31" s="11">
        <v>8</v>
      </c>
      <c r="I31" s="11">
        <f>PRODUCT(G31,H31)</f>
        <v>20000</v>
      </c>
      <c r="L31" s="15" t="s">
        <v>8</v>
      </c>
      <c r="M31" s="80">
        <f>G6*0.2</f>
        <v>500</v>
      </c>
      <c r="N31" s="80">
        <f>G6*0.2</f>
        <v>500</v>
      </c>
      <c r="O31" s="80">
        <f>G6*0.2</f>
        <v>500</v>
      </c>
      <c r="P31" s="80">
        <f>G6*0.2</f>
        <v>500</v>
      </c>
      <c r="Q31" s="80">
        <f>G6*0.2</f>
        <v>500</v>
      </c>
    </row>
    <row r="32" spans="2:17" ht="33" customHeight="1" x14ac:dyDescent="0.25">
      <c r="B32" s="68" t="s">
        <v>26</v>
      </c>
      <c r="C32" s="68"/>
      <c r="D32" s="68"/>
      <c r="E32" s="68"/>
      <c r="F32" s="68"/>
      <c r="G32" s="11">
        <v>2000</v>
      </c>
      <c r="H32" s="11">
        <v>12</v>
      </c>
      <c r="I32" s="11">
        <f>PRODUCT(G32,H32)</f>
        <v>24000</v>
      </c>
      <c r="L32" s="15" t="s">
        <v>11</v>
      </c>
      <c r="M32" s="80">
        <f>G10*0.5</f>
        <v>1350</v>
      </c>
      <c r="N32" s="80">
        <f>G10*0.5</f>
        <v>1350</v>
      </c>
      <c r="O32" s="80">
        <f>I10*0.33</f>
        <v>1188</v>
      </c>
      <c r="P32" s="80">
        <f>I10*0.33</f>
        <v>1188</v>
      </c>
      <c r="Q32" s="80">
        <f>I10*0.33</f>
        <v>1188</v>
      </c>
    </row>
    <row r="33" spans="2:17" ht="21" customHeight="1" x14ac:dyDescent="0.25">
      <c r="B33" s="75"/>
      <c r="C33" s="75"/>
      <c r="D33" s="75"/>
      <c r="E33" s="75"/>
      <c r="F33" s="75"/>
      <c r="G33" s="6"/>
      <c r="H33" s="10" t="s">
        <v>33</v>
      </c>
      <c r="I33" s="4">
        <f>SUM(I30,I31,I32)</f>
        <v>69000</v>
      </c>
      <c r="L33" s="15" t="s">
        <v>15</v>
      </c>
      <c r="M33" s="80">
        <f>G15*0.2</f>
        <v>720</v>
      </c>
      <c r="N33" s="80">
        <f>G15*0.2</f>
        <v>720</v>
      </c>
      <c r="O33" s="80">
        <f>G15*0.2</f>
        <v>720</v>
      </c>
      <c r="P33" s="80">
        <f>G15*0.2</f>
        <v>720</v>
      </c>
      <c r="Q33" s="80">
        <f>G15*0.2</f>
        <v>720</v>
      </c>
    </row>
    <row r="34" spans="2:17" ht="36" customHeight="1" x14ac:dyDescent="0.25">
      <c r="B34" s="67" t="s">
        <v>27</v>
      </c>
      <c r="C34" s="67"/>
      <c r="D34" s="67"/>
      <c r="E34" s="67"/>
      <c r="F34" s="67"/>
      <c r="G34" s="9" t="s">
        <v>21</v>
      </c>
      <c r="H34" s="9" t="s">
        <v>32</v>
      </c>
      <c r="I34" s="8" t="s">
        <v>23</v>
      </c>
      <c r="J34" s="76"/>
      <c r="L34" s="15" t="s">
        <v>16</v>
      </c>
      <c r="M34" s="80">
        <f>G16*0.2</f>
        <v>600</v>
      </c>
      <c r="N34" s="80">
        <f>G16*0.2</f>
        <v>600</v>
      </c>
      <c r="O34" s="80">
        <f>G16*0.2</f>
        <v>600</v>
      </c>
      <c r="P34" s="80">
        <f>G16*0.2</f>
        <v>600</v>
      </c>
      <c r="Q34" s="80">
        <f>G16*0.2</f>
        <v>600</v>
      </c>
    </row>
    <row r="35" spans="2:17" ht="30" customHeight="1" x14ac:dyDescent="0.25">
      <c r="B35" s="69" t="s">
        <v>28</v>
      </c>
      <c r="C35" s="69"/>
      <c r="D35" s="69"/>
      <c r="E35" s="69"/>
      <c r="F35" s="69"/>
      <c r="G35" s="11">
        <v>500</v>
      </c>
      <c r="H35" s="11">
        <v>20</v>
      </c>
      <c r="I35" s="11">
        <f>PRODUCT(G35,H35)</f>
        <v>10000</v>
      </c>
      <c r="L35" s="15" t="s">
        <v>70</v>
      </c>
      <c r="M35" s="80">
        <f>G17*0.33</f>
        <v>2046</v>
      </c>
      <c r="N35" s="80">
        <f>G17*0.33</f>
        <v>2046</v>
      </c>
      <c r="O35" s="80">
        <f>G17*0.33</f>
        <v>2046</v>
      </c>
      <c r="P35" s="80">
        <f>J17*0.5</f>
        <v>2500</v>
      </c>
      <c r="Q35" s="80">
        <f>J17*0.5</f>
        <v>2500</v>
      </c>
    </row>
    <row r="36" spans="2:17" ht="30" customHeight="1" x14ac:dyDescent="0.25">
      <c r="B36" s="69" t="s">
        <v>29</v>
      </c>
      <c r="C36" s="69"/>
      <c r="D36" s="69"/>
      <c r="E36" s="69"/>
      <c r="F36" s="69"/>
      <c r="G36" s="11">
        <v>750</v>
      </c>
      <c r="H36" s="11">
        <v>10</v>
      </c>
      <c r="I36" s="11">
        <f>PRODUCT(G36,H36)</f>
        <v>7500</v>
      </c>
      <c r="L36" s="15" t="s">
        <v>71</v>
      </c>
      <c r="M36" s="80">
        <f>G18*0.33</f>
        <v>6105</v>
      </c>
      <c r="N36" s="80">
        <f>G18*0.33</f>
        <v>6105</v>
      </c>
      <c r="O36" s="80">
        <f>G18*0.33</f>
        <v>6105</v>
      </c>
      <c r="P36" s="80">
        <f>J18*0.5</f>
        <v>7500</v>
      </c>
      <c r="Q36" s="80">
        <f>J18*0.5</f>
        <v>7500</v>
      </c>
    </row>
    <row r="37" spans="2:17" ht="18" customHeight="1" x14ac:dyDescent="0.25">
      <c r="B37" s="69" t="s">
        <v>30</v>
      </c>
      <c r="C37" s="69"/>
      <c r="D37" s="69"/>
      <c r="E37" s="69"/>
      <c r="F37" s="69"/>
      <c r="G37" s="11">
        <v>1000</v>
      </c>
      <c r="H37" s="11">
        <v>8</v>
      </c>
      <c r="I37" s="11">
        <f>PRODUCT(G37,H37)</f>
        <v>8000</v>
      </c>
      <c r="L37" s="15" t="s">
        <v>17</v>
      </c>
      <c r="M37" s="80">
        <f>G19*0.2</f>
        <v>1800</v>
      </c>
      <c r="N37" s="80">
        <f>G19*0.2</f>
        <v>1800</v>
      </c>
      <c r="O37" s="80">
        <f>G19*0.2</f>
        <v>1800</v>
      </c>
      <c r="P37" s="80">
        <f>G19*0.2</f>
        <v>1800</v>
      </c>
      <c r="Q37" s="80">
        <f>G19*0.2</f>
        <v>1800</v>
      </c>
    </row>
    <row r="38" spans="2:17" ht="17.25" customHeight="1" x14ac:dyDescent="0.25">
      <c r="B38" s="69" t="s">
        <v>31</v>
      </c>
      <c r="C38" s="69"/>
      <c r="D38" s="69"/>
      <c r="E38" s="69"/>
      <c r="F38" s="69"/>
      <c r="G38" s="11">
        <v>500</v>
      </c>
      <c r="H38" s="11">
        <v>12</v>
      </c>
      <c r="I38" s="11">
        <f>PRODUCT(G38,H38)</f>
        <v>6000</v>
      </c>
      <c r="L38" s="15" t="s">
        <v>72</v>
      </c>
      <c r="M38" s="6">
        <f>SUM(M30:M37)</f>
        <v>13421</v>
      </c>
      <c r="N38" s="6">
        <f t="shared" ref="N38:Q38" si="0">SUM(N30:N37)</f>
        <v>13421</v>
      </c>
      <c r="O38" s="6">
        <f t="shared" si="0"/>
        <v>13259</v>
      </c>
      <c r="P38" s="6">
        <f t="shared" si="0"/>
        <v>15108</v>
      </c>
      <c r="Q38" s="6">
        <f t="shared" si="0"/>
        <v>15108</v>
      </c>
    </row>
    <row r="39" spans="2:17" ht="18.75" customHeight="1" x14ac:dyDescent="0.25">
      <c r="B39" s="75"/>
      <c r="C39" s="75"/>
      <c r="D39" s="75"/>
      <c r="E39" s="75"/>
      <c r="F39" s="75"/>
      <c r="G39" s="6"/>
      <c r="H39" s="10" t="s">
        <v>33</v>
      </c>
      <c r="I39" s="4">
        <f>SUM(I35,I36,I37,I38)</f>
        <v>31500</v>
      </c>
    </row>
    <row r="40" spans="2:17" ht="39.75" customHeight="1" x14ac:dyDescent="0.25">
      <c r="B40" s="67" t="s">
        <v>34</v>
      </c>
      <c r="C40" s="67"/>
      <c r="D40" s="67"/>
      <c r="E40" s="67"/>
      <c r="F40" s="67"/>
      <c r="G40" s="9" t="s">
        <v>21</v>
      </c>
      <c r="H40" s="9" t="s">
        <v>32</v>
      </c>
      <c r="I40" s="8" t="s">
        <v>23</v>
      </c>
    </row>
    <row r="41" spans="2:17" ht="30.75" customHeight="1" x14ac:dyDescent="0.25">
      <c r="B41" s="69" t="s">
        <v>35</v>
      </c>
      <c r="C41" s="69"/>
      <c r="D41" s="69"/>
      <c r="E41" s="69"/>
      <c r="F41" s="69"/>
      <c r="G41" s="11">
        <v>1000</v>
      </c>
      <c r="H41" s="11">
        <v>12</v>
      </c>
      <c r="I41" s="11">
        <f>PRODUCT(G41,H41)</f>
        <v>12000</v>
      </c>
      <c r="J41" s="76"/>
    </row>
    <row r="42" spans="2:17" x14ac:dyDescent="0.25">
      <c r="B42" s="69" t="s">
        <v>36</v>
      </c>
      <c r="C42" s="69"/>
      <c r="D42" s="69"/>
      <c r="E42" s="69"/>
      <c r="F42" s="69"/>
      <c r="G42" s="11">
        <v>1500</v>
      </c>
      <c r="H42" s="11">
        <v>8</v>
      </c>
      <c r="I42" s="11">
        <f>PRODUCT(G42,H42)</f>
        <v>12000</v>
      </c>
    </row>
    <row r="43" spans="2:17" x14ac:dyDescent="0.25">
      <c r="B43" s="69" t="s">
        <v>37</v>
      </c>
      <c r="C43" s="69"/>
      <c r="D43" s="69"/>
      <c r="E43" s="69"/>
      <c r="F43" s="69"/>
      <c r="G43" s="11">
        <v>1000</v>
      </c>
      <c r="H43" s="11">
        <v>20</v>
      </c>
      <c r="I43" s="11">
        <f>PRODUCT(G43,H43)</f>
        <v>20000</v>
      </c>
    </row>
    <row r="44" spans="2:17" x14ac:dyDescent="0.25">
      <c r="B44" s="69" t="s">
        <v>38</v>
      </c>
      <c r="C44" s="69"/>
      <c r="D44" s="69"/>
      <c r="E44" s="69"/>
      <c r="F44" s="69"/>
      <c r="G44" s="11">
        <v>2000</v>
      </c>
      <c r="H44" s="11">
        <v>10</v>
      </c>
      <c r="I44" s="11">
        <f>PRODUCT(G44,H44)</f>
        <v>20000</v>
      </c>
    </row>
    <row r="45" spans="2:17" x14ac:dyDescent="0.25">
      <c r="B45" s="75"/>
      <c r="C45" s="75"/>
      <c r="D45" s="75"/>
      <c r="E45" s="75"/>
      <c r="F45" s="75"/>
      <c r="G45" s="6"/>
      <c r="H45" s="10" t="s">
        <v>33</v>
      </c>
      <c r="I45" s="4">
        <f>SUM(I41,I42,I43,I44)</f>
        <v>64000</v>
      </c>
    </row>
    <row r="46" spans="2:17" ht="28.5" customHeight="1" x14ac:dyDescent="0.25">
      <c r="B46" s="67" t="s">
        <v>41</v>
      </c>
      <c r="C46" s="67"/>
      <c r="D46" s="67"/>
      <c r="E46" s="67"/>
      <c r="F46" s="67"/>
      <c r="G46" s="9" t="s">
        <v>21</v>
      </c>
      <c r="H46" s="9" t="s">
        <v>32</v>
      </c>
      <c r="I46" s="8" t="s">
        <v>23</v>
      </c>
    </row>
    <row r="47" spans="2:17" x14ac:dyDescent="0.25">
      <c r="B47" s="68" t="s">
        <v>39</v>
      </c>
      <c r="C47" s="68"/>
      <c r="D47" s="68"/>
      <c r="E47" s="68"/>
      <c r="F47" s="68"/>
      <c r="G47" s="11">
        <v>10000</v>
      </c>
      <c r="H47" s="11">
        <v>4</v>
      </c>
      <c r="I47" s="11">
        <f>PRODUCT(G47,H47)</f>
        <v>40000</v>
      </c>
      <c r="J47" s="76"/>
    </row>
    <row r="48" spans="2:17" x14ac:dyDescent="0.25">
      <c r="B48" s="69" t="s">
        <v>40</v>
      </c>
      <c r="C48" s="69"/>
      <c r="D48" s="69"/>
      <c r="E48" s="69"/>
      <c r="F48" s="69"/>
      <c r="G48" s="11">
        <v>3000</v>
      </c>
      <c r="H48" s="11">
        <v>4</v>
      </c>
      <c r="I48" s="11">
        <f>PRODUCT(G48,H48)</f>
        <v>12000</v>
      </c>
    </row>
    <row r="49" spans="2:10" ht="33.75" customHeight="1" x14ac:dyDescent="0.25">
      <c r="B49" s="75"/>
      <c r="C49" s="75"/>
      <c r="D49" s="75"/>
      <c r="E49" s="75"/>
      <c r="F49" s="75"/>
      <c r="G49" s="6"/>
      <c r="H49" s="10" t="s">
        <v>33</v>
      </c>
      <c r="I49" s="4">
        <f>SUM(I47,I48)</f>
        <v>52000</v>
      </c>
      <c r="J49" s="12"/>
    </row>
    <row r="50" spans="2:10" x14ac:dyDescent="0.25">
      <c r="B50" s="67" t="s">
        <v>33</v>
      </c>
      <c r="C50" s="67"/>
      <c r="D50" s="67"/>
      <c r="E50" s="67"/>
      <c r="F50" s="67"/>
      <c r="G50" s="67"/>
      <c r="H50" s="67"/>
      <c r="I50" s="13">
        <f>SUM(I49,I45,I39,I33)</f>
        <v>216500</v>
      </c>
    </row>
    <row r="51" spans="2:10" ht="33.75" customHeight="1" x14ac:dyDescent="0.25"/>
    <row r="54" spans="2:10" x14ac:dyDescent="0.25">
      <c r="B54" s="61" t="s">
        <v>42</v>
      </c>
      <c r="C54" s="62"/>
      <c r="D54" s="63"/>
      <c r="E54" s="14" t="s">
        <v>1</v>
      </c>
      <c r="F54" s="14" t="s">
        <v>2</v>
      </c>
      <c r="G54" s="14" t="s">
        <v>3</v>
      </c>
      <c r="H54" s="14" t="s">
        <v>4</v>
      </c>
      <c r="I54" s="14" t="s">
        <v>5</v>
      </c>
    </row>
    <row r="55" spans="2:10" ht="20.25" customHeight="1" x14ac:dyDescent="0.25">
      <c r="B55" s="64" t="s">
        <v>43</v>
      </c>
      <c r="C55" s="65"/>
      <c r="D55" s="66"/>
      <c r="E55" s="6">
        <f>I33</f>
        <v>69000</v>
      </c>
      <c r="F55" s="6">
        <f>E55*1.1*1.02</f>
        <v>77418</v>
      </c>
      <c r="G55" s="6">
        <f>E55*1.075*1.02</f>
        <v>75658.5</v>
      </c>
      <c r="H55" s="6">
        <f>E55*1.06*1.02</f>
        <v>74602.8</v>
      </c>
      <c r="I55" s="6">
        <f>E55*1.05*1.02</f>
        <v>73899</v>
      </c>
    </row>
    <row r="56" spans="2:10" ht="29.25" customHeight="1" x14ac:dyDescent="0.25">
      <c r="B56" s="64" t="s">
        <v>27</v>
      </c>
      <c r="C56" s="65"/>
      <c r="D56" s="66"/>
      <c r="E56" s="6">
        <f>I39</f>
        <v>31500</v>
      </c>
      <c r="F56" s="6">
        <f>E56*1.08*1.02</f>
        <v>34700.400000000001</v>
      </c>
      <c r="G56" s="6">
        <f>E56*1.055*1.02</f>
        <v>33897.15</v>
      </c>
      <c r="H56" s="6">
        <f>E56*1.03*1.02</f>
        <v>33093.9</v>
      </c>
      <c r="I56" s="6">
        <f>E56*1.03*1.02</f>
        <v>33093.9</v>
      </c>
    </row>
    <row r="57" spans="2:10" x14ac:dyDescent="0.25">
      <c r="B57" s="64" t="s">
        <v>34</v>
      </c>
      <c r="C57" s="65"/>
      <c r="D57" s="66"/>
      <c r="E57" s="6">
        <f>I45</f>
        <v>64000</v>
      </c>
      <c r="F57" s="6">
        <f>E57*1.1*1.02</f>
        <v>71808</v>
      </c>
      <c r="G57" s="6">
        <f>E57*1.075*1.02</f>
        <v>70176</v>
      </c>
      <c r="H57" s="6">
        <f>E57*1.06*1.02</f>
        <v>69196.800000000003</v>
      </c>
      <c r="I57" s="6">
        <f>E57*1.05*1.02</f>
        <v>68544</v>
      </c>
    </row>
    <row r="58" spans="2:10" x14ac:dyDescent="0.25">
      <c r="B58" s="64" t="s">
        <v>44</v>
      </c>
      <c r="C58" s="65"/>
      <c r="D58" s="66"/>
      <c r="E58" s="6">
        <f>I49</f>
        <v>52000</v>
      </c>
      <c r="F58" s="6">
        <f>E58*1.1*1.02</f>
        <v>58344.000000000007</v>
      </c>
      <c r="G58" s="6">
        <f>E58*1.075*1.02</f>
        <v>57018</v>
      </c>
      <c r="H58" s="6">
        <f>E58*1.06*1.02</f>
        <v>56222.400000000001</v>
      </c>
      <c r="I58" s="6">
        <f>E58*1.05*1.02</f>
        <v>55692</v>
      </c>
    </row>
    <row r="62" spans="2:10" x14ac:dyDescent="0.25">
      <c r="B62" s="61" t="s">
        <v>42</v>
      </c>
      <c r="C62" s="62"/>
      <c r="D62" s="63"/>
      <c r="E62" s="14" t="s">
        <v>1</v>
      </c>
      <c r="F62" s="14" t="s">
        <v>2</v>
      </c>
      <c r="G62" s="14" t="s">
        <v>3</v>
      </c>
      <c r="H62" s="14" t="s">
        <v>4</v>
      </c>
      <c r="I62" s="14" t="s">
        <v>5</v>
      </c>
    </row>
    <row r="63" spans="2:10" ht="20.25" customHeight="1" x14ac:dyDescent="0.25">
      <c r="B63" s="52" t="s">
        <v>45</v>
      </c>
      <c r="C63" s="53"/>
      <c r="D63" s="54"/>
      <c r="E63" s="6">
        <f>E55+E58</f>
        <v>121000</v>
      </c>
      <c r="F63" s="6">
        <f>F55+F58</f>
        <v>135762</v>
      </c>
      <c r="G63" s="6">
        <f t="shared" ref="G63:I63" si="1">G55+G58</f>
        <v>132676.5</v>
      </c>
      <c r="H63" s="6">
        <f t="shared" si="1"/>
        <v>130825.20000000001</v>
      </c>
      <c r="I63" s="6">
        <f t="shared" si="1"/>
        <v>129591</v>
      </c>
    </row>
    <row r="64" spans="2:10" x14ac:dyDescent="0.25">
      <c r="B64" s="52" t="s">
        <v>46</v>
      </c>
      <c r="C64" s="53"/>
      <c r="D64" s="54"/>
      <c r="E64" s="6">
        <f>E56+E57</f>
        <v>95500</v>
      </c>
      <c r="F64" s="6">
        <f>F56+F57</f>
        <v>106508.4</v>
      </c>
      <c r="G64" s="6">
        <f t="shared" ref="G64:I64" si="2">G56+G57</f>
        <v>104073.15</v>
      </c>
      <c r="H64" s="6">
        <f t="shared" si="2"/>
        <v>102290.70000000001</v>
      </c>
      <c r="I64" s="6">
        <f t="shared" si="2"/>
        <v>101637.9</v>
      </c>
    </row>
    <row r="65" spans="2:9" x14ac:dyDescent="0.25">
      <c r="B65" s="52" t="s">
        <v>47</v>
      </c>
      <c r="C65" s="53"/>
      <c r="D65" s="54"/>
      <c r="E65" s="6">
        <f>SUM(E55:E58)</f>
        <v>216500</v>
      </c>
      <c r="F65" s="6">
        <f t="shared" ref="F65:I65" si="3">SUM(F55:F58)</f>
        <v>242270.4</v>
      </c>
      <c r="G65" s="6">
        <f t="shared" si="3"/>
        <v>236749.65</v>
      </c>
      <c r="H65" s="6">
        <f t="shared" si="3"/>
        <v>233115.9</v>
      </c>
      <c r="I65" s="6">
        <f t="shared" si="3"/>
        <v>231228.9</v>
      </c>
    </row>
    <row r="69" spans="2:9" x14ac:dyDescent="0.25">
      <c r="B69" s="61" t="s">
        <v>55</v>
      </c>
      <c r="C69" s="62"/>
      <c r="D69" s="63"/>
      <c r="E69" s="14" t="s">
        <v>1</v>
      </c>
      <c r="F69" s="14" t="s">
        <v>56</v>
      </c>
      <c r="G69" s="14" t="s">
        <v>3</v>
      </c>
      <c r="H69" s="14" t="s">
        <v>4</v>
      </c>
      <c r="I69" s="14" t="s">
        <v>5</v>
      </c>
    </row>
    <row r="70" spans="2:9" x14ac:dyDescent="0.25">
      <c r="B70" s="52" t="s">
        <v>48</v>
      </c>
      <c r="C70" s="53"/>
      <c r="D70" s="54"/>
      <c r="E70" s="6">
        <v>33537.65</v>
      </c>
      <c r="F70" s="6">
        <v>36138.980000000003</v>
      </c>
      <c r="G70" s="6">
        <v>38997.61</v>
      </c>
      <c r="H70" s="6">
        <v>41648.26</v>
      </c>
      <c r="I70" s="6">
        <v>44497.62</v>
      </c>
    </row>
    <row r="71" spans="2:9" x14ac:dyDescent="0.25">
      <c r="B71" s="52" t="s">
        <v>49</v>
      </c>
      <c r="C71" s="53"/>
      <c r="D71" s="54"/>
      <c r="E71" s="6">
        <v>6000</v>
      </c>
      <c r="F71" s="6">
        <v>6240</v>
      </c>
      <c r="G71" s="6">
        <v>6490</v>
      </c>
      <c r="H71" s="6">
        <v>6750</v>
      </c>
      <c r="I71" s="6">
        <v>7020</v>
      </c>
    </row>
    <row r="72" spans="2:9" x14ac:dyDescent="0.25">
      <c r="B72" s="52" t="s">
        <v>50</v>
      </c>
      <c r="C72" s="53"/>
      <c r="D72" s="54"/>
      <c r="E72" s="6">
        <v>9400</v>
      </c>
      <c r="F72" s="6">
        <v>10340</v>
      </c>
      <c r="G72" s="6">
        <v>11374</v>
      </c>
      <c r="H72" s="6">
        <v>12511</v>
      </c>
      <c r="I72" s="6">
        <v>13762</v>
      </c>
    </row>
    <row r="73" spans="2:9" x14ac:dyDescent="0.25">
      <c r="B73" s="52" t="s">
        <v>51</v>
      </c>
      <c r="C73" s="53"/>
      <c r="D73" s="54"/>
      <c r="E73" s="6">
        <v>350</v>
      </c>
      <c r="F73" s="6">
        <v>368</v>
      </c>
      <c r="G73" s="6">
        <v>386</v>
      </c>
      <c r="H73" s="6">
        <v>405</v>
      </c>
      <c r="I73" s="6">
        <v>425</v>
      </c>
    </row>
    <row r="74" spans="2:9" x14ac:dyDescent="0.25">
      <c r="B74" s="52" t="s">
        <v>52</v>
      </c>
      <c r="C74" s="53"/>
      <c r="D74" s="54"/>
      <c r="E74" s="6">
        <v>6100</v>
      </c>
      <c r="F74" s="6">
        <v>6405</v>
      </c>
      <c r="G74" s="6">
        <v>6725</v>
      </c>
      <c r="H74" s="6">
        <v>7061</v>
      </c>
      <c r="I74" s="6">
        <v>7414</v>
      </c>
    </row>
    <row r="75" spans="2:9" x14ac:dyDescent="0.25">
      <c r="B75" s="52" t="s">
        <v>53</v>
      </c>
      <c r="C75" s="53"/>
      <c r="D75" s="54"/>
      <c r="E75" s="6">
        <v>14000</v>
      </c>
      <c r="F75" s="6">
        <v>1540</v>
      </c>
      <c r="G75" s="6">
        <v>1694</v>
      </c>
      <c r="H75" s="6">
        <v>1863</v>
      </c>
      <c r="I75" s="6">
        <v>2049</v>
      </c>
    </row>
    <row r="76" spans="2:9" x14ac:dyDescent="0.25">
      <c r="B76" s="52" t="s">
        <v>54</v>
      </c>
      <c r="C76" s="53"/>
      <c r="D76" s="54"/>
      <c r="E76" s="6">
        <f>M38</f>
        <v>13421</v>
      </c>
      <c r="F76" s="6">
        <f t="shared" ref="F76:I76" si="4">N38</f>
        <v>13421</v>
      </c>
      <c r="G76" s="6">
        <f t="shared" si="4"/>
        <v>13259</v>
      </c>
      <c r="H76" s="6">
        <f t="shared" si="4"/>
        <v>15108</v>
      </c>
      <c r="I76" s="6">
        <f t="shared" si="4"/>
        <v>15108</v>
      </c>
    </row>
    <row r="77" spans="2:9" x14ac:dyDescent="0.25">
      <c r="B77" s="55" t="s">
        <v>33</v>
      </c>
      <c r="C77" s="56"/>
      <c r="D77" s="57"/>
      <c r="E77" s="6">
        <f>SUM(E70:E76)</f>
        <v>82808.649999999994</v>
      </c>
      <c r="F77" s="6">
        <f t="shared" ref="F77:I77" si="5">SUM(F70:F76)</f>
        <v>74452.98000000001</v>
      </c>
      <c r="G77" s="6">
        <f t="shared" si="5"/>
        <v>78925.61</v>
      </c>
      <c r="H77" s="6">
        <f t="shared" si="5"/>
        <v>85346.260000000009</v>
      </c>
      <c r="I77" s="6">
        <f t="shared" si="5"/>
        <v>90275.62</v>
      </c>
    </row>
    <row r="82" spans="2:9" x14ac:dyDescent="0.25">
      <c r="B82" s="23"/>
      <c r="C82" s="23"/>
      <c r="D82" s="24"/>
      <c r="E82" s="14" t="s">
        <v>1</v>
      </c>
      <c r="F82" s="14" t="s">
        <v>2</v>
      </c>
      <c r="G82" s="14" t="s">
        <v>3</v>
      </c>
      <c r="H82" s="14" t="s">
        <v>4</v>
      </c>
      <c r="I82" s="14" t="s">
        <v>5</v>
      </c>
    </row>
    <row r="83" spans="2:9" x14ac:dyDescent="0.25">
      <c r="B83" s="58" t="s">
        <v>57</v>
      </c>
      <c r="C83" s="59"/>
      <c r="D83" s="59"/>
      <c r="E83" s="59"/>
      <c r="F83" s="59"/>
      <c r="G83" s="59"/>
      <c r="H83" s="59"/>
      <c r="I83" s="60"/>
    </row>
    <row r="84" spans="2:9" x14ac:dyDescent="0.25">
      <c r="B84" s="49" t="s">
        <v>45</v>
      </c>
      <c r="C84" s="50"/>
      <c r="D84" s="51"/>
      <c r="E84" s="15">
        <f>E63</f>
        <v>121000</v>
      </c>
      <c r="F84" s="15">
        <f t="shared" ref="F84:I84" si="6">F63</f>
        <v>135762</v>
      </c>
      <c r="G84" s="15">
        <f t="shared" si="6"/>
        <v>132676.5</v>
      </c>
      <c r="H84" s="15">
        <f t="shared" si="6"/>
        <v>130825.20000000001</v>
      </c>
      <c r="I84" s="15">
        <f t="shared" si="6"/>
        <v>129591</v>
      </c>
    </row>
    <row r="85" spans="2:9" x14ac:dyDescent="0.25">
      <c r="B85" s="49" t="s">
        <v>46</v>
      </c>
      <c r="C85" s="50"/>
      <c r="D85" s="51"/>
      <c r="E85" s="15">
        <f>E64</f>
        <v>95500</v>
      </c>
      <c r="F85" s="15">
        <f t="shared" ref="F85:I85" si="7">F64</f>
        <v>106508.4</v>
      </c>
      <c r="G85" s="15">
        <f t="shared" si="7"/>
        <v>104073.15</v>
      </c>
      <c r="H85" s="15">
        <f t="shared" si="7"/>
        <v>102290.70000000001</v>
      </c>
      <c r="I85" s="15">
        <f t="shared" si="7"/>
        <v>101637.9</v>
      </c>
    </row>
    <row r="86" spans="2:9" x14ac:dyDescent="0.25">
      <c r="B86" s="49" t="s">
        <v>47</v>
      </c>
      <c r="C86" s="50"/>
      <c r="D86" s="51"/>
      <c r="E86" s="15">
        <f>E65</f>
        <v>216500</v>
      </c>
      <c r="F86" s="15">
        <f t="shared" ref="F86:I86" si="8">F65</f>
        <v>242270.4</v>
      </c>
      <c r="G86" s="15">
        <f t="shared" si="8"/>
        <v>236749.65</v>
      </c>
      <c r="H86" s="15">
        <f t="shared" si="8"/>
        <v>233115.9</v>
      </c>
      <c r="I86" s="15">
        <f t="shared" si="8"/>
        <v>231228.9</v>
      </c>
    </row>
    <row r="87" spans="2:9" x14ac:dyDescent="0.25">
      <c r="B87" s="25"/>
      <c r="C87" s="26"/>
      <c r="D87" s="26"/>
      <c r="E87" s="26"/>
      <c r="F87" s="26"/>
      <c r="G87" s="26"/>
      <c r="H87" s="26"/>
      <c r="I87" s="27"/>
    </row>
    <row r="88" spans="2:9" x14ac:dyDescent="0.25">
      <c r="B88" s="46" t="s">
        <v>58</v>
      </c>
      <c r="C88" s="47"/>
      <c r="D88" s="48"/>
      <c r="E88" s="16">
        <f>E77</f>
        <v>82808.649999999994</v>
      </c>
      <c r="F88" s="16">
        <f t="shared" ref="F88:I88" si="9">F77</f>
        <v>74452.98000000001</v>
      </c>
      <c r="G88" s="16">
        <f t="shared" si="9"/>
        <v>78925.61</v>
      </c>
      <c r="H88" s="16">
        <f t="shared" si="9"/>
        <v>85346.260000000009</v>
      </c>
      <c r="I88" s="16">
        <f t="shared" si="9"/>
        <v>90275.62</v>
      </c>
    </row>
    <row r="89" spans="2:9" x14ac:dyDescent="0.25">
      <c r="B89" s="46" t="s">
        <v>59</v>
      </c>
      <c r="C89" s="47"/>
      <c r="D89" s="48"/>
      <c r="E89" s="16">
        <f>E76</f>
        <v>13421</v>
      </c>
      <c r="F89" s="16">
        <f t="shared" ref="F89:I89" si="10">F76</f>
        <v>13421</v>
      </c>
      <c r="G89" s="16">
        <f t="shared" si="10"/>
        <v>13259</v>
      </c>
      <c r="H89" s="16">
        <f t="shared" si="10"/>
        <v>15108</v>
      </c>
      <c r="I89" s="16">
        <f t="shared" si="10"/>
        <v>15108</v>
      </c>
    </row>
    <row r="90" spans="2:9" x14ac:dyDescent="0.25">
      <c r="B90" s="25"/>
      <c r="C90" s="26"/>
      <c r="D90" s="26"/>
      <c r="E90" s="26"/>
      <c r="F90" s="26"/>
      <c r="G90" s="26"/>
      <c r="H90" s="26"/>
      <c r="I90" s="27"/>
    </row>
    <row r="91" spans="2:9" x14ac:dyDescent="0.25">
      <c r="B91" s="46" t="s">
        <v>60</v>
      </c>
      <c r="C91" s="47"/>
      <c r="D91" s="47"/>
      <c r="E91" s="47"/>
      <c r="F91" s="47"/>
      <c r="G91" s="47"/>
      <c r="H91" s="47"/>
      <c r="I91" s="48"/>
    </row>
    <row r="92" spans="2:9" x14ac:dyDescent="0.25">
      <c r="B92" s="40" t="s">
        <v>45</v>
      </c>
      <c r="C92" s="41"/>
      <c r="D92" s="42"/>
      <c r="E92" s="16"/>
      <c r="F92" s="16"/>
      <c r="G92" s="16"/>
      <c r="H92" s="16"/>
      <c r="I92" s="16"/>
    </row>
    <row r="93" spans="2:9" x14ac:dyDescent="0.25">
      <c r="B93" s="40" t="s">
        <v>46</v>
      </c>
      <c r="C93" s="41"/>
      <c r="D93" s="42"/>
      <c r="E93" s="16"/>
      <c r="F93" s="16"/>
      <c r="G93" s="16"/>
      <c r="H93" s="16"/>
      <c r="I93" s="16"/>
    </row>
    <row r="94" spans="2:9" x14ac:dyDescent="0.25">
      <c r="B94" s="40" t="s">
        <v>47</v>
      </c>
      <c r="C94" s="41"/>
      <c r="D94" s="42"/>
      <c r="E94" s="16"/>
      <c r="F94" s="16"/>
      <c r="G94" s="16"/>
      <c r="H94" s="16"/>
      <c r="I94" s="16"/>
    </row>
    <row r="95" spans="2:9" x14ac:dyDescent="0.25">
      <c r="B95" s="25"/>
      <c r="C95" s="26"/>
      <c r="D95" s="26"/>
      <c r="E95" s="26"/>
      <c r="F95" s="26"/>
      <c r="G95" s="26"/>
      <c r="H95" s="26"/>
      <c r="I95" s="27"/>
    </row>
    <row r="96" spans="2:9" x14ac:dyDescent="0.25">
      <c r="B96" s="43" t="s">
        <v>61</v>
      </c>
      <c r="C96" s="44"/>
      <c r="D96" s="44"/>
      <c r="E96" s="44"/>
      <c r="F96" s="44"/>
      <c r="G96" s="44"/>
      <c r="H96" s="44"/>
      <c r="I96" s="45"/>
    </row>
    <row r="97" spans="2:9" x14ac:dyDescent="0.25">
      <c r="B97" s="34" t="s">
        <v>45</v>
      </c>
      <c r="C97" s="35"/>
      <c r="D97" s="36"/>
      <c r="E97" s="17"/>
      <c r="F97" s="17"/>
      <c r="G97" s="17"/>
      <c r="H97" s="17"/>
      <c r="I97" s="17"/>
    </row>
    <row r="98" spans="2:9" x14ac:dyDescent="0.25">
      <c r="B98" s="34" t="s">
        <v>46</v>
      </c>
      <c r="C98" s="35"/>
      <c r="D98" s="36"/>
      <c r="E98" s="17"/>
      <c r="F98" s="17"/>
      <c r="G98" s="17"/>
      <c r="H98" s="17"/>
      <c r="I98" s="17"/>
    </row>
    <row r="99" spans="2:9" x14ac:dyDescent="0.25">
      <c r="B99" s="34" t="s">
        <v>47</v>
      </c>
      <c r="C99" s="35"/>
      <c r="D99" s="36"/>
      <c r="E99" s="17"/>
      <c r="F99" s="17"/>
      <c r="G99" s="17"/>
      <c r="H99" s="17"/>
      <c r="I99" s="17"/>
    </row>
    <row r="100" spans="2:9" x14ac:dyDescent="0.25">
      <c r="B100" s="25"/>
      <c r="C100" s="26"/>
      <c r="D100" s="26"/>
      <c r="E100" s="26"/>
      <c r="F100" s="26"/>
      <c r="G100" s="26"/>
      <c r="H100" s="26"/>
      <c r="I100" s="27"/>
    </row>
    <row r="101" spans="2:9" x14ac:dyDescent="0.25">
      <c r="B101" s="37" t="s">
        <v>62</v>
      </c>
      <c r="C101" s="38"/>
      <c r="D101" s="38"/>
      <c r="E101" s="38"/>
      <c r="F101" s="38"/>
      <c r="G101" s="38"/>
      <c r="H101" s="38"/>
      <c r="I101" s="39"/>
    </row>
    <row r="102" spans="2:9" x14ac:dyDescent="0.25">
      <c r="B102" s="31" t="s">
        <v>45</v>
      </c>
      <c r="C102" s="32"/>
      <c r="D102" s="33"/>
      <c r="E102" s="18"/>
      <c r="F102" s="18"/>
      <c r="G102" s="18"/>
      <c r="H102" s="18"/>
      <c r="I102" s="18"/>
    </row>
    <row r="103" spans="2:9" x14ac:dyDescent="0.25">
      <c r="B103" s="31" t="s">
        <v>46</v>
      </c>
      <c r="C103" s="32"/>
      <c r="D103" s="33"/>
      <c r="E103" s="18"/>
      <c r="F103" s="18"/>
      <c r="G103" s="18"/>
      <c r="H103" s="18"/>
      <c r="I103" s="18"/>
    </row>
    <row r="104" spans="2:9" x14ac:dyDescent="0.25">
      <c r="B104" s="31" t="s">
        <v>47</v>
      </c>
      <c r="C104" s="32"/>
      <c r="D104" s="33"/>
      <c r="E104" s="18"/>
      <c r="F104" s="18"/>
      <c r="G104" s="18"/>
      <c r="H104" s="18"/>
      <c r="I104" s="18"/>
    </row>
    <row r="105" spans="2:9" x14ac:dyDescent="0.25">
      <c r="B105" s="25"/>
      <c r="C105" s="26"/>
      <c r="D105" s="26"/>
      <c r="E105" s="26"/>
      <c r="F105" s="26"/>
      <c r="G105" s="26"/>
      <c r="H105" s="26"/>
      <c r="I105" s="27"/>
    </row>
    <row r="106" spans="2:9" x14ac:dyDescent="0.25">
      <c r="B106" s="28" t="s">
        <v>63</v>
      </c>
      <c r="C106" s="29"/>
      <c r="D106" s="29"/>
      <c r="E106" s="29"/>
      <c r="F106" s="29"/>
      <c r="G106" s="29"/>
      <c r="H106" s="29"/>
      <c r="I106" s="30"/>
    </row>
    <row r="107" spans="2:9" x14ac:dyDescent="0.25">
      <c r="B107" s="20" t="s">
        <v>45</v>
      </c>
      <c r="C107" s="21"/>
      <c r="D107" s="22"/>
      <c r="E107" s="19"/>
      <c r="F107" s="19"/>
      <c r="G107" s="19"/>
      <c r="H107" s="19"/>
      <c r="I107" s="19"/>
    </row>
    <row r="108" spans="2:9" x14ac:dyDescent="0.25">
      <c r="B108" s="20" t="s">
        <v>46</v>
      </c>
      <c r="C108" s="21"/>
      <c r="D108" s="22"/>
      <c r="E108" s="19"/>
      <c r="F108" s="19"/>
      <c r="G108" s="19"/>
      <c r="H108" s="19"/>
      <c r="I108" s="19"/>
    </row>
    <row r="109" spans="2:9" x14ac:dyDescent="0.25">
      <c r="B109" s="20" t="s">
        <v>47</v>
      </c>
      <c r="C109" s="21"/>
      <c r="D109" s="22"/>
      <c r="E109" s="19"/>
      <c r="F109" s="19"/>
      <c r="G109" s="19"/>
      <c r="H109" s="19"/>
      <c r="I109" s="19"/>
    </row>
    <row r="110" spans="2:9" x14ac:dyDescent="0.25">
      <c r="B110" s="25"/>
      <c r="C110" s="26"/>
      <c r="D110" s="26"/>
      <c r="E110" s="26"/>
      <c r="F110" s="26"/>
      <c r="G110" s="26"/>
      <c r="H110" s="26"/>
      <c r="I110" s="27"/>
    </row>
    <row r="111" spans="2:9" x14ac:dyDescent="0.25">
      <c r="B111" s="28" t="s">
        <v>64</v>
      </c>
      <c r="C111" s="29"/>
      <c r="D111" s="29"/>
      <c r="E111" s="29"/>
      <c r="F111" s="29"/>
      <c r="G111" s="29"/>
      <c r="H111" s="29"/>
      <c r="I111" s="30"/>
    </row>
    <row r="112" spans="2:9" x14ac:dyDescent="0.25">
      <c r="B112" s="20" t="s">
        <v>45</v>
      </c>
      <c r="C112" s="21"/>
      <c r="D112" s="22"/>
      <c r="E112" s="19"/>
      <c r="F112" s="19"/>
      <c r="G112" s="19"/>
      <c r="H112" s="19"/>
      <c r="I112" s="19"/>
    </row>
    <row r="113" spans="2:9" x14ac:dyDescent="0.25">
      <c r="B113" s="20" t="s">
        <v>46</v>
      </c>
      <c r="C113" s="21"/>
      <c r="D113" s="22"/>
      <c r="E113" s="19"/>
      <c r="F113" s="19"/>
      <c r="G113" s="19"/>
      <c r="H113" s="19"/>
      <c r="I113" s="19"/>
    </row>
    <row r="114" spans="2:9" x14ac:dyDescent="0.25">
      <c r="B114" s="20" t="s">
        <v>47</v>
      </c>
      <c r="C114" s="21"/>
      <c r="D114" s="22"/>
      <c r="E114" s="19"/>
      <c r="F114" s="19"/>
      <c r="G114" s="19"/>
      <c r="H114" s="19"/>
      <c r="I114" s="19"/>
    </row>
  </sheetData>
  <mergeCells count="93">
    <mergeCell ref="B44:F44"/>
    <mergeCell ref="B45:F45"/>
    <mergeCell ref="B46:F46"/>
    <mergeCell ref="B47:F47"/>
    <mergeCell ref="B48:F48"/>
    <mergeCell ref="B10:F10"/>
    <mergeCell ref="B11:F11"/>
    <mergeCell ref="B3:F3"/>
    <mergeCell ref="B4:K4"/>
    <mergeCell ref="B33:F33"/>
    <mergeCell ref="B5:F5"/>
    <mergeCell ref="B6:F6"/>
    <mergeCell ref="B7:F7"/>
    <mergeCell ref="B8:K8"/>
    <mergeCell ref="B9:K9"/>
    <mergeCell ref="B19:F19"/>
    <mergeCell ref="B20:F20"/>
    <mergeCell ref="B21:K21"/>
    <mergeCell ref="B22:F22"/>
    <mergeCell ref="B12:K12"/>
    <mergeCell ref="B13:K13"/>
    <mergeCell ref="B14:F14"/>
    <mergeCell ref="B15:F15"/>
    <mergeCell ref="B16:F16"/>
    <mergeCell ref="B18:F18"/>
    <mergeCell ref="B29:F29"/>
    <mergeCell ref="B17:F17"/>
    <mergeCell ref="B50:H50"/>
    <mergeCell ref="B54:D54"/>
    <mergeCell ref="B30:F30"/>
    <mergeCell ref="B31:F31"/>
    <mergeCell ref="B32:F32"/>
    <mergeCell ref="B34:F34"/>
    <mergeCell ref="B35:F35"/>
    <mergeCell ref="B36:F36"/>
    <mergeCell ref="B37:F37"/>
    <mergeCell ref="B38:F38"/>
    <mergeCell ref="B39:F39"/>
    <mergeCell ref="B40:F40"/>
    <mergeCell ref="B41:F41"/>
    <mergeCell ref="B42:F42"/>
    <mergeCell ref="B43:F43"/>
    <mergeCell ref="B49:F49"/>
    <mergeCell ref="B65:D65"/>
    <mergeCell ref="B55:D55"/>
    <mergeCell ref="B56:D56"/>
    <mergeCell ref="B57:D57"/>
    <mergeCell ref="B64:D64"/>
    <mergeCell ref="B63:D63"/>
    <mergeCell ref="B62:D62"/>
    <mergeCell ref="B58:D58"/>
    <mergeCell ref="B69:D69"/>
    <mergeCell ref="B70:D70"/>
    <mergeCell ref="B71:D71"/>
    <mergeCell ref="B72:D72"/>
    <mergeCell ref="B73:D73"/>
    <mergeCell ref="B74:D74"/>
    <mergeCell ref="B75:D75"/>
    <mergeCell ref="B76:D76"/>
    <mergeCell ref="B77:D77"/>
    <mergeCell ref="B83:I83"/>
    <mergeCell ref="B84:D84"/>
    <mergeCell ref="B85:D85"/>
    <mergeCell ref="B86:D86"/>
    <mergeCell ref="B87:I87"/>
    <mergeCell ref="B88:D88"/>
    <mergeCell ref="B89:D89"/>
    <mergeCell ref="B90:I90"/>
    <mergeCell ref="B91:I91"/>
    <mergeCell ref="B92:D92"/>
    <mergeCell ref="B93:D93"/>
    <mergeCell ref="B103:D103"/>
    <mergeCell ref="B94:D94"/>
    <mergeCell ref="B95:I95"/>
    <mergeCell ref="B96:I96"/>
    <mergeCell ref="B97:D97"/>
    <mergeCell ref="B98:D98"/>
    <mergeCell ref="B114:D114"/>
    <mergeCell ref="B82:D82"/>
    <mergeCell ref="B109:D109"/>
    <mergeCell ref="B110:I110"/>
    <mergeCell ref="B111:I111"/>
    <mergeCell ref="B112:D112"/>
    <mergeCell ref="B113:D113"/>
    <mergeCell ref="B104:D104"/>
    <mergeCell ref="B105:I105"/>
    <mergeCell ref="B106:I106"/>
    <mergeCell ref="B107:D107"/>
    <mergeCell ref="B108:D108"/>
    <mergeCell ref="B99:D99"/>
    <mergeCell ref="B100:I100"/>
    <mergeCell ref="B101:I101"/>
    <mergeCell ref="B102:D102"/>
  </mergeCells>
  <pageMargins left="0.7" right="0.7" top="0.75" bottom="0.75" header="0.3" footer="0.3"/>
  <pageSetup paperSize="9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Alberto</dc:creator>
  <cp:lastModifiedBy>Javier</cp:lastModifiedBy>
  <dcterms:created xsi:type="dcterms:W3CDTF">2020-03-01T00:33:54Z</dcterms:created>
  <dcterms:modified xsi:type="dcterms:W3CDTF">2020-03-18T17:52:40Z</dcterms:modified>
</cp:coreProperties>
</file>