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\OneDrive\Documentos\GitHub\Gestion-de-Proyectos\LABORATORIO\"/>
    </mc:Choice>
  </mc:AlternateContent>
  <xr:revisionPtr revIDLastSave="255" documentId="6_{BAD6B766-0025-46F8-9DD1-079A69F0C6B5}" xr6:coauthVersionLast="44" xr6:coauthVersionMax="44" xr10:uidLastSave="{F9939061-EE05-43A8-A935-5E6341316CB1}"/>
  <bookViews>
    <workbookView xWindow="3225" yWindow="2190" windowWidth="21600" windowHeight="11385" xr2:uid="{3EAC4CDE-D374-488D-8C8A-A6FF80133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7" i="1" l="1"/>
  <c r="G17" i="1"/>
  <c r="I47" i="1" l="1"/>
  <c r="I46" i="1"/>
  <c r="I40" i="1"/>
  <c r="I43" i="1"/>
  <c r="I42" i="1"/>
  <c r="I41" i="1"/>
  <c r="I37" i="1"/>
  <c r="I36" i="1"/>
  <c r="I35" i="1"/>
  <c r="I34" i="1"/>
  <c r="I31" i="1"/>
  <c r="I30" i="1"/>
  <c r="I29" i="1"/>
  <c r="I32" i="1" s="1"/>
  <c r="I44" i="1" l="1"/>
  <c r="I38" i="1"/>
  <c r="I48" i="1"/>
  <c r="G7" i="1"/>
  <c r="H7" i="1"/>
  <c r="I7" i="1"/>
  <c r="J7" i="1"/>
  <c r="K7" i="1"/>
  <c r="G11" i="1"/>
  <c r="H11" i="1"/>
  <c r="I11" i="1"/>
  <c r="J11" i="1"/>
  <c r="K11" i="1"/>
  <c r="G19" i="1"/>
  <c r="H19" i="1"/>
  <c r="I19" i="1"/>
  <c r="J19" i="1"/>
  <c r="K19" i="1"/>
  <c r="I49" i="1" l="1"/>
  <c r="H21" i="1"/>
  <c r="I21" i="1"/>
  <c r="K21" i="1"/>
  <c r="J21" i="1"/>
  <c r="G21" i="1"/>
</calcChain>
</file>

<file path=xl/sharedStrings.xml><?xml version="1.0" encoding="utf-8"?>
<sst xmlns="http://schemas.openxmlformats.org/spreadsheetml/2006/main" count="119" uniqueCount="66">
  <si>
    <t>INVERSIONES</t>
  </si>
  <si>
    <t>AÑO 1</t>
  </si>
  <si>
    <t>AÑO 2</t>
  </si>
  <si>
    <t>AÑO 3</t>
  </si>
  <si>
    <t>AÑO 4</t>
  </si>
  <si>
    <t>AÑO 5</t>
  </si>
  <si>
    <t>1. Gastos de constitución y primer establecimiento</t>
  </si>
  <si>
    <t>Gastos de constitución</t>
  </si>
  <si>
    <t>Gastos de primer establecimiento</t>
  </si>
  <si>
    <t>Total de Gastos de constitución y primer establecimiento</t>
  </si>
  <si>
    <t>2. Inmovilizaciones Inmateriales</t>
  </si>
  <si>
    <t>Aplicaciones informáticas</t>
  </si>
  <si>
    <t>Total de Inmovilización Inmateriales</t>
  </si>
  <si>
    <t>3. Inmovilizaciones Materiales</t>
  </si>
  <si>
    <t xml:space="preserve">Construcciones </t>
  </si>
  <si>
    <t>Maquinaria</t>
  </si>
  <si>
    <t>Mobiliario</t>
  </si>
  <si>
    <t>Elementos de transporte</t>
  </si>
  <si>
    <t>Total de Inmovilizaciones Materiales</t>
  </si>
  <si>
    <t>Total de Inversiones</t>
  </si>
  <si>
    <t>Equipos para procesos de información</t>
  </si>
  <si>
    <t>SALUD ESTRUCTURAL Y CONTROL DE EDIFICIOS</t>
  </si>
  <si>
    <t>Precio medio</t>
  </si>
  <si>
    <t>Unidades vendidas</t>
  </si>
  <si>
    <t>Ingresos</t>
  </si>
  <si>
    <t>Sistemas de detección de presencia y sensores de nivel de agua y temperatura</t>
  </si>
  <si>
    <t>Sensores de vibración e impacto</t>
  </si>
  <si>
    <t>Sistemas de contol de unidades de CC (válvulas de riego, termostatos, sistemas de iluminación, motores, PLC, etc)</t>
  </si>
  <si>
    <t>AGRICULTURA DE PRECISIÓN</t>
  </si>
  <si>
    <t>Sistemas de riego</t>
  </si>
  <si>
    <t>Estaciones meteorológicas</t>
  </si>
  <si>
    <t>Sistemas de gestión de invernadero</t>
  </si>
  <si>
    <t>Sistemas de detección de crecimiento y diámetro del fruto</t>
  </si>
  <si>
    <t>Unidades vendidos</t>
  </si>
  <si>
    <t>TOTAL</t>
  </si>
  <si>
    <t>CONTROL MEDIOAMBIENTAL</t>
  </si>
  <si>
    <t>Sistemas de monitorización de la contaminación de la ciudad</t>
  </si>
  <si>
    <t>Sistema de control de emisiones de granjas y criaderos</t>
  </si>
  <si>
    <t>Sistemas de detección de incendios forestales</t>
  </si>
  <si>
    <t>Control de procesos químicos e industriales</t>
  </si>
  <si>
    <t>Sistema de detección de establecimientos gratuitos al aire libre / cubierto</t>
  </si>
  <si>
    <t>Sistemas de información de estacionamiento disponible</t>
  </si>
  <si>
    <t>GESTION DE TRÁFICO</t>
  </si>
  <si>
    <t>PREVISION DE INGRESOS</t>
  </si>
  <si>
    <t>SALUD ESTRUCTURAL Y CONTROL DE EDIFCIOS</t>
  </si>
  <si>
    <t>GESTION DE TRAFICO</t>
  </si>
  <si>
    <t>ESCENARIO 1 (1+4)</t>
  </si>
  <si>
    <t>ESCENARIO 2 (2+3)</t>
  </si>
  <si>
    <t>ESCENARIO 3 (1+2+3+4)</t>
  </si>
  <si>
    <t>Gastos de personal</t>
  </si>
  <si>
    <t>Alquileres</t>
  </si>
  <si>
    <t>Gastos generales</t>
  </si>
  <si>
    <t>Seguros y tributos</t>
  </si>
  <si>
    <t>Aprovisionamientos</t>
  </si>
  <si>
    <t>Otros</t>
  </si>
  <si>
    <t>Amortizaciones</t>
  </si>
  <si>
    <t>COSTES FIJOS (€)</t>
  </si>
  <si>
    <t xml:space="preserve">AÑO 2 </t>
  </si>
  <si>
    <t>INGRESOS TOTALES</t>
  </si>
  <si>
    <t>COSTES FIJOS</t>
  </si>
  <si>
    <t>AMORTIZACIONES</t>
  </si>
  <si>
    <t>GASTOS VARIABLES</t>
  </si>
  <si>
    <t>BENEFICIOS</t>
  </si>
  <si>
    <t>IMPUESTOS</t>
  </si>
  <si>
    <t>BENEFICIOS NETOS</t>
  </si>
  <si>
    <t>BENEFICIOS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</si>
</sst>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Border="1"/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1" fillId="6" borderId="2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8" borderId="1" xfId="0" applyFill="1" applyBorder="1"/>
    <xf numFmtId="0" fontId="1" fillId="9" borderId="2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11" borderId="1" xfId="0" applyFill="1" applyBorder="1"/>
    <xf numFmtId="0" fontId="1" fillId="12" borderId="2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3" borderId="3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4" borderId="1" xfId="0" applyFill="1" applyBorder="1"/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0" fillId="15" borderId="2" xfId="0" applyFill="1" applyBorder="1" applyAlignment="1">
      <alignment horizontal="left"/>
    </xf>
    <xf numFmtId="0" fontId="0" fillId="15" borderId="3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0" fillId="16" borderId="1" xfId="0" applyFill="1" applyBorder="1"/>
    <xf numFmtId="0" fontId="1" fillId="19" borderId="2" xfId="0" applyFont="1" applyFill="1" applyBorder="1" applyAlignment="1">
      <alignment horizontal="left"/>
    </xf>
    <xf numFmtId="0" fontId="1" fillId="19" borderId="3" xfId="0" applyFont="1" applyFill="1" applyBorder="1" applyAlignment="1">
      <alignment horizontal="left"/>
    </xf>
    <xf numFmtId="0" fontId="1" fillId="19" borderId="4" xfId="0" applyFont="1" applyFill="1" applyBorder="1" applyAlignment="1">
      <alignment horizontal="left"/>
    </xf>
    <xf numFmtId="0" fontId="0" fillId="17" borderId="2" xfId="0" applyFill="1" applyBorder="1" applyAlignment="1">
      <alignment horizontal="left"/>
    </xf>
    <xf numFmtId="0" fontId="0" fillId="17" borderId="3" xfId="0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0" fillId="1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1. Gastos de constitución y primer establecimiento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(Hoja1!$G$7,Hoja1!$H$7,Hoja1!$I$7,Hoja1!$J$7,Hoja1!$K$7)</c:f>
              <c:numCache>
                <c:formatCode>General</c:formatCode>
                <c:ptCount val="5"/>
                <c:pt idx="0">
                  <c:v>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D65-4204-A7DD-C05D7CCE5991}"/>
            </c:ext>
          </c:extLst>
        </c:ser>
        <c:ser>
          <c:idx val="1"/>
          <c:order val="1"/>
          <c:tx>
            <c:strRef>
              <c:f>Hoja1!$B$9</c:f>
              <c:strCache>
                <c:ptCount val="1"/>
                <c:pt idx="0">
                  <c:v>2. Inmovilizaciones Inmateriales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(Hoja1!$G$11,Hoja1!$H$11,Hoja1!$J$11,Hoja1!$I$11,Hoja1!$K$11)</c:f>
              <c:numCache>
                <c:formatCode>General</c:formatCode>
                <c:ptCount val="5"/>
                <c:pt idx="0">
                  <c:v>2700</c:v>
                </c:pt>
                <c:pt idx="1">
                  <c:v>0</c:v>
                </c:pt>
                <c:pt idx="2">
                  <c:v>0</c:v>
                </c:pt>
                <c:pt idx="3">
                  <c:v>3600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D65-4204-A7DD-C05D7CCE5991}"/>
            </c:ext>
          </c:extLst>
        </c:ser>
        <c:ser>
          <c:idx val="2"/>
          <c:order val="2"/>
          <c:tx>
            <c:strRef>
              <c:f>Hoja1!$B$13</c:f>
              <c:strCache>
                <c:ptCount val="1"/>
                <c:pt idx="0">
                  <c:v>3. Inmovilizaciones Materiales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(Hoja1!$G$19,Hoja1!$H$19,Hoja1!$H$19,Hoja1!$I$19,Hoja1!$J$19,Hoja1!$K$19)</c:f>
              <c:numCache>
                <c:formatCode>General</c:formatCode>
                <c:ptCount val="6"/>
                <c:pt idx="0">
                  <c:v>43300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D65-4204-A7DD-C05D7CCE59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gapDepth val="75"/>
        <c:shape val="box"/>
        <c:axId val="1251616080"/>
        <c:axId val="1094884896"/>
        <c:axId val="0"/>
      </c:bar3DChart>
      <c:catAx>
        <c:axId val="125161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4884896"/>
        <c:crosses val="autoZero"/>
        <c:auto val="1"/>
        <c:lblAlgn val="ctr"/>
        <c:lblOffset val="100"/>
        <c:noMultiLvlLbl val="0"/>
      </c:catAx>
      <c:valAx>
        <c:axId val="10948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INVERSION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16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2</xdr:row>
      <xdr:rowOff>19049</xdr:rowOff>
    </xdr:from>
    <xdr:to>
      <xdr:col>20</xdr:col>
      <xdr:colOff>123825</xdr:colOff>
      <xdr:row>21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E269EE-C7B7-47E9-A2DB-CD3DAD7FC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7910-A5B9-4DC6-9781-64D99FA28BA6}">
  <dimension ref="B3:K113"/>
  <sheetViews>
    <sheetView tabSelected="1" topLeftCell="A65" workbookViewId="0">
      <selection activeCell="I79" sqref="I79"/>
    </sheetView>
  </sheetViews>
  <sheetFormatPr baseColWidth="10" defaultRowHeight="15" x14ac:dyDescent="0.25"/>
  <cols>
    <col min="7" max="7" width="12" customWidth="1"/>
    <col min="8" max="8" width="12.7109375" customWidth="1"/>
    <col min="9" max="10" width="12.28515625" customWidth="1"/>
    <col min="11" max="11" width="12.140625" customWidth="1"/>
  </cols>
  <sheetData>
    <row r="3" spans="2:11" x14ac:dyDescent="0.25">
      <c r="B3" s="19" t="s">
        <v>0</v>
      </c>
      <c r="C3" s="19"/>
      <c r="D3" s="19"/>
      <c r="E3" s="19"/>
      <c r="F3" s="19"/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</row>
    <row r="4" spans="2:11" x14ac:dyDescent="0.25">
      <c r="B4" s="20" t="s">
        <v>6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x14ac:dyDescent="0.25">
      <c r="B5" s="17" t="s">
        <v>7</v>
      </c>
      <c r="C5" s="17"/>
      <c r="D5" s="17"/>
      <c r="E5" s="17"/>
      <c r="F5" s="17"/>
      <c r="G5" s="4">
        <v>1500</v>
      </c>
      <c r="H5" s="4"/>
      <c r="I5" s="4"/>
      <c r="J5" s="4"/>
      <c r="K5" s="4"/>
    </row>
    <row r="6" spans="2:11" x14ac:dyDescent="0.25">
      <c r="B6" s="17" t="s">
        <v>8</v>
      </c>
      <c r="C6" s="17"/>
      <c r="D6" s="17"/>
      <c r="E6" s="17"/>
      <c r="F6" s="17"/>
      <c r="G6" s="4">
        <v>2500</v>
      </c>
      <c r="H6" s="4"/>
      <c r="I6" s="4"/>
      <c r="J6" s="4"/>
      <c r="K6" s="4"/>
    </row>
    <row r="7" spans="2:11" x14ac:dyDescent="0.25">
      <c r="B7" s="18" t="s">
        <v>9</v>
      </c>
      <c r="C7" s="18"/>
      <c r="D7" s="18"/>
      <c r="E7" s="18"/>
      <c r="F7" s="18"/>
      <c r="G7" s="5">
        <f>SUM(G5,G6)</f>
        <v>4000</v>
      </c>
      <c r="H7" s="5">
        <f>SUM(H5,H6)</f>
        <v>0</v>
      </c>
      <c r="I7" s="5">
        <f>SUM(I5,I6)</f>
        <v>0</v>
      </c>
      <c r="J7" s="5">
        <f>SUM(J5,J6)</f>
        <v>0</v>
      </c>
      <c r="K7" s="5">
        <f>SUM(K5,K6)</f>
        <v>0</v>
      </c>
    </row>
    <row r="8" spans="2:11" x14ac:dyDescent="0.25"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2:11" x14ac:dyDescent="0.25">
      <c r="B9" s="20" t="s">
        <v>10</v>
      </c>
      <c r="C9" s="20"/>
      <c r="D9" s="20"/>
      <c r="E9" s="20"/>
      <c r="F9" s="20"/>
      <c r="G9" s="20"/>
      <c r="H9" s="20"/>
      <c r="I9" s="20"/>
      <c r="J9" s="20"/>
      <c r="K9" s="20"/>
    </row>
    <row r="10" spans="2:11" x14ac:dyDescent="0.25">
      <c r="B10" s="17" t="s">
        <v>11</v>
      </c>
      <c r="C10" s="17"/>
      <c r="D10" s="17"/>
      <c r="E10" s="17"/>
      <c r="F10" s="17"/>
      <c r="G10" s="4">
        <v>2700</v>
      </c>
      <c r="H10" s="4"/>
      <c r="I10" s="4">
        <v>3600</v>
      </c>
      <c r="J10" s="4"/>
      <c r="K10" s="4"/>
    </row>
    <row r="11" spans="2:11" x14ac:dyDescent="0.25">
      <c r="B11" s="18" t="s">
        <v>12</v>
      </c>
      <c r="C11" s="18"/>
      <c r="D11" s="18"/>
      <c r="E11" s="18"/>
      <c r="F11" s="18"/>
      <c r="G11" s="5">
        <f>SUM(G10)</f>
        <v>2700</v>
      </c>
      <c r="H11" s="5">
        <f>SUM(H10)</f>
        <v>0</v>
      </c>
      <c r="I11" s="5">
        <f>SUM(I10)</f>
        <v>3600</v>
      </c>
      <c r="J11" s="5">
        <f>SUM(J10)</f>
        <v>0</v>
      </c>
      <c r="K11" s="5">
        <f>SUM(K10)</f>
        <v>0</v>
      </c>
    </row>
    <row r="12" spans="2:11" x14ac:dyDescent="0.25"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2:11" x14ac:dyDescent="0.25">
      <c r="B13" s="20" t="s">
        <v>13</v>
      </c>
      <c r="C13" s="20"/>
      <c r="D13" s="20"/>
      <c r="E13" s="20"/>
      <c r="F13" s="20"/>
      <c r="G13" s="20"/>
      <c r="H13" s="20"/>
      <c r="I13" s="20"/>
      <c r="J13" s="20"/>
      <c r="K13" s="20"/>
    </row>
    <row r="14" spans="2:11" x14ac:dyDescent="0.25">
      <c r="B14" s="17" t="s">
        <v>14</v>
      </c>
      <c r="C14" s="17"/>
      <c r="D14" s="17"/>
      <c r="E14" s="17"/>
      <c r="F14" s="17"/>
      <c r="G14" s="4">
        <v>3000</v>
      </c>
      <c r="H14" s="4"/>
      <c r="I14" s="4"/>
      <c r="J14" s="4"/>
      <c r="K14" s="4"/>
    </row>
    <row r="15" spans="2:11" x14ac:dyDescent="0.25">
      <c r="B15" s="17" t="s">
        <v>15</v>
      </c>
      <c r="C15" s="17"/>
      <c r="D15" s="17"/>
      <c r="E15" s="17"/>
      <c r="F15" s="17"/>
      <c r="G15" s="4">
        <v>3600</v>
      </c>
      <c r="H15" s="4"/>
      <c r="I15" s="4"/>
      <c r="J15" s="4"/>
      <c r="K15" s="4"/>
    </row>
    <row r="16" spans="2:11" x14ac:dyDescent="0.25">
      <c r="B16" s="17" t="s">
        <v>16</v>
      </c>
      <c r="C16" s="17"/>
      <c r="D16" s="17"/>
      <c r="E16" s="17"/>
      <c r="F16" s="17"/>
      <c r="G16" s="4">
        <v>3000</v>
      </c>
      <c r="H16" s="4"/>
      <c r="I16" s="4"/>
      <c r="J16" s="4"/>
      <c r="K16" s="4"/>
    </row>
    <row r="17" spans="2:11" x14ac:dyDescent="0.25">
      <c r="B17" s="17" t="s">
        <v>20</v>
      </c>
      <c r="C17" s="17"/>
      <c r="D17" s="17"/>
      <c r="E17" s="17"/>
      <c r="F17" s="17"/>
      <c r="G17" s="4">
        <f>(6200+18500)</f>
        <v>24700</v>
      </c>
      <c r="H17" s="4"/>
      <c r="I17" s="4"/>
      <c r="J17" s="4">
        <f>(5000+15000)</f>
        <v>20000</v>
      </c>
      <c r="K17" s="4"/>
    </row>
    <row r="18" spans="2:11" x14ac:dyDescent="0.25">
      <c r="B18" s="17" t="s">
        <v>17</v>
      </c>
      <c r="C18" s="17"/>
      <c r="D18" s="17"/>
      <c r="E18" s="17"/>
      <c r="F18" s="17"/>
      <c r="G18" s="4">
        <v>9000</v>
      </c>
      <c r="H18" s="4"/>
      <c r="I18" s="4"/>
      <c r="J18" s="4"/>
      <c r="K18" s="4"/>
    </row>
    <row r="19" spans="2:11" x14ac:dyDescent="0.25">
      <c r="B19" s="18" t="s">
        <v>18</v>
      </c>
      <c r="C19" s="18"/>
      <c r="D19" s="18"/>
      <c r="E19" s="18"/>
      <c r="F19" s="18"/>
      <c r="G19" s="5">
        <f>SUM(G14:G18)</f>
        <v>43300</v>
      </c>
      <c r="H19" s="5">
        <f>SUM(H14:H18)</f>
        <v>0</v>
      </c>
      <c r="I19" s="5">
        <f>SUM(I14:I18)</f>
        <v>0</v>
      </c>
      <c r="J19" s="5">
        <f>SUM(J14:J18)</f>
        <v>20000</v>
      </c>
      <c r="K19" s="5">
        <f>SUM(K14:K18)</f>
        <v>0</v>
      </c>
    </row>
    <row r="20" spans="2:11" x14ac:dyDescent="0.25"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2:11" x14ac:dyDescent="0.25">
      <c r="B21" s="18" t="s">
        <v>19</v>
      </c>
      <c r="C21" s="18"/>
      <c r="D21" s="18"/>
      <c r="E21" s="18"/>
      <c r="F21" s="18"/>
      <c r="G21" s="3">
        <f>SUM(G7,G11,G19)</f>
        <v>50000</v>
      </c>
      <c r="H21" s="3">
        <f>SUM(H7,H11,H19)</f>
        <v>0</v>
      </c>
      <c r="I21" s="3">
        <f>SUM(I7,I11,I19)</f>
        <v>3600</v>
      </c>
      <c r="J21" s="3">
        <f>SUM(J7,J11,J19)</f>
        <v>20000</v>
      </c>
      <c r="K21" s="3">
        <f>SUM(K7,K11,K19)</f>
        <v>0</v>
      </c>
    </row>
    <row r="28" spans="2:11" ht="30" customHeight="1" x14ac:dyDescent="0.25">
      <c r="B28" s="15" t="s">
        <v>21</v>
      </c>
      <c r="C28" s="21"/>
      <c r="D28" s="21"/>
      <c r="E28" s="21"/>
      <c r="F28" s="21"/>
      <c r="G28" s="7" t="s">
        <v>22</v>
      </c>
      <c r="H28" s="8" t="s">
        <v>23</v>
      </c>
      <c r="I28" s="8" t="s">
        <v>24</v>
      </c>
      <c r="J28" s="1"/>
      <c r="K28" s="1"/>
    </row>
    <row r="29" spans="2:11" ht="33.75" customHeight="1" x14ac:dyDescent="0.25">
      <c r="B29" s="16" t="s">
        <v>25</v>
      </c>
      <c r="C29" s="16"/>
      <c r="D29" s="16"/>
      <c r="E29" s="16"/>
      <c r="F29" s="16"/>
      <c r="G29" s="11">
        <v>2500</v>
      </c>
      <c r="H29" s="11">
        <v>10</v>
      </c>
      <c r="I29" s="11">
        <f>PRODUCT(G29,H29)</f>
        <v>25000</v>
      </c>
    </row>
    <row r="30" spans="2:11" ht="18" customHeight="1" x14ac:dyDescent="0.25">
      <c r="B30" s="14" t="s">
        <v>26</v>
      </c>
      <c r="C30" s="14"/>
      <c r="D30" s="14"/>
      <c r="E30" s="14"/>
      <c r="F30" s="14"/>
      <c r="G30" s="11">
        <v>2500</v>
      </c>
      <c r="H30" s="11">
        <v>8</v>
      </c>
      <c r="I30" s="11">
        <f>PRODUCT(G30,H30)</f>
        <v>20000</v>
      </c>
    </row>
    <row r="31" spans="2:11" ht="33" customHeight="1" x14ac:dyDescent="0.25">
      <c r="B31" s="16" t="s">
        <v>27</v>
      </c>
      <c r="C31" s="16"/>
      <c r="D31" s="16"/>
      <c r="E31" s="16"/>
      <c r="F31" s="16"/>
      <c r="G31" s="11">
        <v>2000</v>
      </c>
      <c r="H31" s="11">
        <v>12</v>
      </c>
      <c r="I31" s="11">
        <f>PRODUCT(G31,H31)</f>
        <v>24000</v>
      </c>
    </row>
    <row r="32" spans="2:11" ht="21" customHeight="1" x14ac:dyDescent="0.25">
      <c r="B32" s="13"/>
      <c r="C32" s="13"/>
      <c r="D32" s="13"/>
      <c r="E32" s="13"/>
      <c r="F32" s="13"/>
      <c r="G32" s="6"/>
      <c r="H32" s="10" t="s">
        <v>34</v>
      </c>
      <c r="I32" s="4">
        <f>SUM(I29,I30,I31)</f>
        <v>69000</v>
      </c>
    </row>
    <row r="33" spans="2:10" ht="36" customHeight="1" x14ac:dyDescent="0.25">
      <c r="B33" s="15" t="s">
        <v>28</v>
      </c>
      <c r="C33" s="15"/>
      <c r="D33" s="15"/>
      <c r="E33" s="15"/>
      <c r="F33" s="15"/>
      <c r="G33" s="9" t="s">
        <v>22</v>
      </c>
      <c r="H33" s="9" t="s">
        <v>33</v>
      </c>
      <c r="I33" s="8" t="s">
        <v>24</v>
      </c>
    </row>
    <row r="34" spans="2:10" ht="30" customHeight="1" x14ac:dyDescent="0.25">
      <c r="B34" s="14" t="s">
        <v>29</v>
      </c>
      <c r="C34" s="14"/>
      <c r="D34" s="14"/>
      <c r="E34" s="14"/>
      <c r="F34" s="14"/>
      <c r="G34" s="11">
        <v>500</v>
      </c>
      <c r="H34" s="11">
        <v>20</v>
      </c>
      <c r="I34" s="11">
        <f>PRODUCT(G34,H34)</f>
        <v>10000</v>
      </c>
    </row>
    <row r="35" spans="2:10" ht="18" customHeight="1" x14ac:dyDescent="0.25">
      <c r="B35" s="14" t="s">
        <v>30</v>
      </c>
      <c r="C35" s="14"/>
      <c r="D35" s="14"/>
      <c r="E35" s="14"/>
      <c r="F35" s="14"/>
      <c r="G35" s="11">
        <v>750</v>
      </c>
      <c r="H35" s="11">
        <v>10</v>
      </c>
      <c r="I35" s="11">
        <f>PRODUCT(G35,H35)</f>
        <v>7500</v>
      </c>
    </row>
    <row r="36" spans="2:10" ht="17.25" customHeight="1" x14ac:dyDescent="0.25">
      <c r="B36" s="14" t="s">
        <v>31</v>
      </c>
      <c r="C36" s="14"/>
      <c r="D36" s="14"/>
      <c r="E36" s="14"/>
      <c r="F36" s="14"/>
      <c r="G36" s="11">
        <v>1000</v>
      </c>
      <c r="H36" s="11">
        <v>8</v>
      </c>
      <c r="I36" s="11">
        <f>PRODUCT(G36,H36)</f>
        <v>8000</v>
      </c>
    </row>
    <row r="37" spans="2:10" ht="18.75" customHeight="1" x14ac:dyDescent="0.25">
      <c r="B37" s="14" t="s">
        <v>32</v>
      </c>
      <c r="C37" s="14"/>
      <c r="D37" s="14"/>
      <c r="E37" s="14"/>
      <c r="F37" s="14"/>
      <c r="G37" s="11">
        <v>500</v>
      </c>
      <c r="H37" s="11">
        <v>12</v>
      </c>
      <c r="I37" s="11">
        <f>PRODUCT(G37,H37)</f>
        <v>6000</v>
      </c>
    </row>
    <row r="38" spans="2:10" ht="21" customHeight="1" x14ac:dyDescent="0.25">
      <c r="B38" s="13"/>
      <c r="C38" s="13"/>
      <c r="D38" s="13"/>
      <c r="E38" s="13"/>
      <c r="F38" s="13"/>
      <c r="G38" s="6"/>
      <c r="H38" s="10" t="s">
        <v>34</v>
      </c>
      <c r="I38" s="4">
        <f>SUM(I34,I35,I36,I37)</f>
        <v>31500</v>
      </c>
    </row>
    <row r="39" spans="2:10" ht="30.75" customHeight="1" x14ac:dyDescent="0.25">
      <c r="B39" s="15" t="s">
        <v>35</v>
      </c>
      <c r="C39" s="15"/>
      <c r="D39" s="15"/>
      <c r="E39" s="15"/>
      <c r="F39" s="15"/>
      <c r="G39" s="9" t="s">
        <v>22</v>
      </c>
      <c r="H39" s="9" t="s">
        <v>33</v>
      </c>
      <c r="I39" s="8" t="s">
        <v>24</v>
      </c>
    </row>
    <row r="40" spans="2:10" x14ac:dyDescent="0.25">
      <c r="B40" s="14" t="s">
        <v>36</v>
      </c>
      <c r="C40" s="14"/>
      <c r="D40" s="14"/>
      <c r="E40" s="14"/>
      <c r="F40" s="14"/>
      <c r="G40" s="11">
        <v>1000</v>
      </c>
      <c r="H40" s="11">
        <v>12</v>
      </c>
      <c r="I40" s="11">
        <f>PRODUCT(G40,H40)</f>
        <v>12000</v>
      </c>
    </row>
    <row r="41" spans="2:10" x14ac:dyDescent="0.25">
      <c r="B41" s="14" t="s">
        <v>37</v>
      </c>
      <c r="C41" s="14"/>
      <c r="D41" s="14"/>
      <c r="E41" s="14"/>
      <c r="F41" s="14"/>
      <c r="G41" s="11">
        <v>1500</v>
      </c>
      <c r="H41" s="11">
        <v>8</v>
      </c>
      <c r="I41" s="11">
        <f>PRODUCT(G41,H41)</f>
        <v>12000</v>
      </c>
    </row>
    <row r="42" spans="2:10" x14ac:dyDescent="0.25">
      <c r="B42" s="14" t="s">
        <v>38</v>
      </c>
      <c r="C42" s="14"/>
      <c r="D42" s="14"/>
      <c r="E42" s="14"/>
      <c r="F42" s="14"/>
      <c r="G42" s="11">
        <v>1000</v>
      </c>
      <c r="H42" s="11">
        <v>20</v>
      </c>
      <c r="I42" s="11">
        <f>PRODUCT(G42,H42)</f>
        <v>20000</v>
      </c>
    </row>
    <row r="43" spans="2:10" x14ac:dyDescent="0.25">
      <c r="B43" s="14" t="s">
        <v>39</v>
      </c>
      <c r="C43" s="14"/>
      <c r="D43" s="14"/>
      <c r="E43" s="14"/>
      <c r="F43" s="14"/>
      <c r="G43" s="11">
        <v>2000</v>
      </c>
      <c r="H43" s="11">
        <v>10</v>
      </c>
      <c r="I43" s="11">
        <f>PRODUCT(G43,H43)</f>
        <v>20000</v>
      </c>
    </row>
    <row r="44" spans="2:10" ht="20.25" customHeight="1" x14ac:dyDescent="0.25">
      <c r="B44" s="13"/>
      <c r="C44" s="13"/>
      <c r="D44" s="13"/>
      <c r="E44" s="13"/>
      <c r="F44" s="13"/>
      <c r="G44" s="6"/>
      <c r="H44" s="10" t="s">
        <v>34</v>
      </c>
      <c r="I44" s="4">
        <f>SUM(I40,I41,I42,I43)</f>
        <v>64000</v>
      </c>
    </row>
    <row r="45" spans="2:10" ht="30" x14ac:dyDescent="0.25">
      <c r="B45" s="15" t="s">
        <v>42</v>
      </c>
      <c r="C45" s="15"/>
      <c r="D45" s="15"/>
      <c r="E45" s="15"/>
      <c r="F45" s="15"/>
      <c r="G45" s="9" t="s">
        <v>22</v>
      </c>
      <c r="H45" s="9" t="s">
        <v>33</v>
      </c>
      <c r="I45" s="8" t="s">
        <v>24</v>
      </c>
    </row>
    <row r="46" spans="2:10" x14ac:dyDescent="0.25">
      <c r="B46" s="16" t="s">
        <v>40</v>
      </c>
      <c r="C46" s="16"/>
      <c r="D46" s="16"/>
      <c r="E46" s="16"/>
      <c r="F46" s="16"/>
      <c r="G46" s="11">
        <v>10000</v>
      </c>
      <c r="H46" s="11">
        <v>4</v>
      </c>
      <c r="I46" s="11">
        <f>PRODUCT(G46,H46)</f>
        <v>40000</v>
      </c>
    </row>
    <row r="47" spans="2:10" ht="33.75" customHeight="1" x14ac:dyDescent="0.25">
      <c r="B47" s="14" t="s">
        <v>41</v>
      </c>
      <c r="C47" s="14"/>
      <c r="D47" s="14"/>
      <c r="E47" s="14"/>
      <c r="F47" s="14"/>
      <c r="G47" s="11">
        <v>3000</v>
      </c>
      <c r="H47" s="11">
        <v>4</v>
      </c>
      <c r="I47" s="11">
        <f>PRODUCT(G47,H47)</f>
        <v>12000</v>
      </c>
      <c r="J47" s="12"/>
    </row>
    <row r="48" spans="2:10" x14ac:dyDescent="0.25">
      <c r="B48" s="13"/>
      <c r="C48" s="13"/>
      <c r="D48" s="13"/>
      <c r="E48" s="13"/>
      <c r="F48" s="13"/>
      <c r="G48" s="6"/>
      <c r="H48" s="10" t="s">
        <v>34</v>
      </c>
      <c r="I48" s="4">
        <f>SUM(I46,I47)</f>
        <v>52000</v>
      </c>
    </row>
    <row r="49" spans="2:9" ht="33.75" customHeight="1" x14ac:dyDescent="0.25">
      <c r="B49" s="15" t="s">
        <v>34</v>
      </c>
      <c r="C49" s="15"/>
      <c r="D49" s="15"/>
      <c r="E49" s="15"/>
      <c r="F49" s="15"/>
      <c r="G49" s="15"/>
      <c r="H49" s="15"/>
      <c r="I49" s="22">
        <f>SUM(I48,I44,I38,I32)</f>
        <v>216500</v>
      </c>
    </row>
    <row r="53" spans="2:9" ht="20.25" customHeight="1" x14ac:dyDescent="0.25">
      <c r="B53" s="26" t="s">
        <v>43</v>
      </c>
      <c r="C53" s="27"/>
      <c r="D53" s="28"/>
      <c r="E53" s="29" t="s">
        <v>1</v>
      </c>
      <c r="F53" s="29" t="s">
        <v>2</v>
      </c>
      <c r="G53" s="29" t="s">
        <v>3</v>
      </c>
      <c r="H53" s="29" t="s">
        <v>4</v>
      </c>
      <c r="I53" s="29" t="s">
        <v>5</v>
      </c>
    </row>
    <row r="54" spans="2:9" ht="29.25" customHeight="1" x14ac:dyDescent="0.25">
      <c r="B54" s="33" t="s">
        <v>44</v>
      </c>
      <c r="C54" s="34"/>
      <c r="D54" s="35"/>
      <c r="E54" s="6"/>
      <c r="F54" s="6"/>
      <c r="G54" s="6"/>
      <c r="H54" s="6"/>
      <c r="I54" s="6"/>
    </row>
    <row r="55" spans="2:9" x14ac:dyDescent="0.25">
      <c r="B55" s="33" t="s">
        <v>28</v>
      </c>
      <c r="C55" s="34"/>
      <c r="D55" s="35"/>
      <c r="E55" s="6"/>
      <c r="F55" s="6"/>
      <c r="G55" s="6"/>
      <c r="H55" s="6"/>
      <c r="I55" s="6"/>
    </row>
    <row r="56" spans="2:9" x14ac:dyDescent="0.25">
      <c r="B56" s="33" t="s">
        <v>35</v>
      </c>
      <c r="C56" s="34"/>
      <c r="D56" s="35"/>
      <c r="E56" s="6"/>
      <c r="F56" s="6"/>
      <c r="G56" s="6"/>
      <c r="H56" s="6"/>
      <c r="I56" s="6"/>
    </row>
    <row r="57" spans="2:9" x14ac:dyDescent="0.25">
      <c r="B57" s="33" t="s">
        <v>45</v>
      </c>
      <c r="C57" s="34"/>
      <c r="D57" s="35"/>
      <c r="E57" s="6"/>
      <c r="F57" s="6"/>
      <c r="G57" s="6"/>
      <c r="H57" s="6"/>
      <c r="I57" s="6"/>
    </row>
    <row r="61" spans="2:9" ht="20.25" customHeight="1" x14ac:dyDescent="0.25">
      <c r="B61" s="26" t="s">
        <v>43</v>
      </c>
      <c r="C61" s="27"/>
      <c r="D61" s="28"/>
      <c r="E61" s="29" t="s">
        <v>1</v>
      </c>
      <c r="F61" s="29" t="s">
        <v>2</v>
      </c>
      <c r="G61" s="29" t="s">
        <v>3</v>
      </c>
      <c r="H61" s="29" t="s">
        <v>4</v>
      </c>
      <c r="I61" s="29" t="s">
        <v>5</v>
      </c>
    </row>
    <row r="62" spans="2:9" x14ac:dyDescent="0.25">
      <c r="B62" s="30" t="s">
        <v>46</v>
      </c>
      <c r="C62" s="31"/>
      <c r="D62" s="32"/>
      <c r="E62" s="6"/>
      <c r="F62" s="6"/>
      <c r="G62" s="6"/>
      <c r="H62" s="6"/>
      <c r="I62" s="6"/>
    </row>
    <row r="63" spans="2:9" x14ac:dyDescent="0.25">
      <c r="B63" s="30" t="s">
        <v>47</v>
      </c>
      <c r="C63" s="31"/>
      <c r="D63" s="32"/>
      <c r="E63" s="6"/>
      <c r="F63" s="6"/>
      <c r="G63" s="6"/>
      <c r="H63" s="6"/>
      <c r="I63" s="6"/>
    </row>
    <row r="64" spans="2:9" x14ac:dyDescent="0.25">
      <c r="B64" s="30" t="s">
        <v>48</v>
      </c>
      <c r="C64" s="31"/>
      <c r="D64" s="32"/>
      <c r="E64" s="6"/>
      <c r="F64" s="6"/>
      <c r="G64" s="6"/>
      <c r="H64" s="6"/>
      <c r="I64" s="6"/>
    </row>
    <row r="68" spans="2:9" x14ac:dyDescent="0.25">
      <c r="B68" s="26" t="s">
        <v>56</v>
      </c>
      <c r="C68" s="27"/>
      <c r="D68" s="28"/>
      <c r="E68" s="29" t="s">
        <v>1</v>
      </c>
      <c r="F68" s="29" t="s">
        <v>57</v>
      </c>
      <c r="G68" s="29" t="s">
        <v>3</v>
      </c>
      <c r="H68" s="29" t="s">
        <v>4</v>
      </c>
      <c r="I68" s="29" t="s">
        <v>5</v>
      </c>
    </row>
    <row r="69" spans="2:9" x14ac:dyDescent="0.25">
      <c r="B69" s="30" t="s">
        <v>49</v>
      </c>
      <c r="C69" s="31"/>
      <c r="D69" s="32"/>
      <c r="E69" s="6"/>
      <c r="F69" s="6"/>
      <c r="G69" s="6"/>
      <c r="H69" s="6"/>
      <c r="I69" s="6"/>
    </row>
    <row r="70" spans="2:9" x14ac:dyDescent="0.25">
      <c r="B70" s="30" t="s">
        <v>50</v>
      </c>
      <c r="C70" s="31"/>
      <c r="D70" s="32"/>
      <c r="E70" s="6"/>
      <c r="F70" s="6"/>
      <c r="G70" s="6"/>
      <c r="H70" s="6"/>
      <c r="I70" s="6"/>
    </row>
    <row r="71" spans="2:9" x14ac:dyDescent="0.25">
      <c r="B71" s="30" t="s">
        <v>51</v>
      </c>
      <c r="C71" s="31"/>
      <c r="D71" s="32"/>
      <c r="E71" s="6"/>
      <c r="F71" s="6"/>
      <c r="G71" s="6"/>
      <c r="H71" s="6"/>
      <c r="I71" s="6"/>
    </row>
    <row r="72" spans="2:9" x14ac:dyDescent="0.25">
      <c r="B72" s="30" t="s">
        <v>52</v>
      </c>
      <c r="C72" s="31"/>
      <c r="D72" s="32"/>
      <c r="E72" s="6"/>
      <c r="F72" s="6"/>
      <c r="G72" s="6"/>
      <c r="H72" s="6"/>
      <c r="I72" s="6"/>
    </row>
    <row r="73" spans="2:9" x14ac:dyDescent="0.25">
      <c r="B73" s="30" t="s">
        <v>53</v>
      </c>
      <c r="C73" s="31"/>
      <c r="D73" s="32"/>
      <c r="E73" s="6"/>
      <c r="F73" s="6"/>
      <c r="G73" s="6"/>
      <c r="H73" s="6"/>
      <c r="I73" s="6"/>
    </row>
    <row r="74" spans="2:9" x14ac:dyDescent="0.25">
      <c r="B74" s="30" t="s">
        <v>54</v>
      </c>
      <c r="C74" s="31"/>
      <c r="D74" s="32"/>
      <c r="E74" s="6"/>
      <c r="F74" s="6"/>
      <c r="G74" s="6"/>
      <c r="H74" s="6"/>
      <c r="I74" s="6"/>
    </row>
    <row r="75" spans="2:9" x14ac:dyDescent="0.25">
      <c r="B75" s="30" t="s">
        <v>55</v>
      </c>
      <c r="C75" s="31"/>
      <c r="D75" s="32"/>
      <c r="E75" s="6"/>
      <c r="F75" s="6"/>
      <c r="G75" s="6"/>
      <c r="H75" s="6"/>
      <c r="I75" s="6"/>
    </row>
    <row r="76" spans="2:9" x14ac:dyDescent="0.25">
      <c r="B76" s="36" t="s">
        <v>34</v>
      </c>
      <c r="C76" s="37"/>
      <c r="D76" s="38"/>
      <c r="E76" s="6"/>
      <c r="F76" s="6"/>
      <c r="G76" s="6"/>
      <c r="H76" s="6"/>
      <c r="I76" s="6"/>
    </row>
    <row r="81" spans="2:9" x14ac:dyDescent="0.25">
      <c r="B81" s="39"/>
      <c r="C81" s="39"/>
      <c r="D81" s="40"/>
      <c r="E81" s="29" t="s">
        <v>1</v>
      </c>
      <c r="F81" s="29" t="s">
        <v>2</v>
      </c>
      <c r="G81" s="29" t="s">
        <v>3</v>
      </c>
      <c r="H81" s="29" t="s">
        <v>4</v>
      </c>
      <c r="I81" s="29" t="s">
        <v>5</v>
      </c>
    </row>
    <row r="82" spans="2:9" x14ac:dyDescent="0.25">
      <c r="B82" s="41" t="s">
        <v>58</v>
      </c>
      <c r="C82" s="42"/>
      <c r="D82" s="42"/>
      <c r="E82" s="42"/>
      <c r="F82" s="42"/>
      <c r="G82" s="42"/>
      <c r="H82" s="42"/>
      <c r="I82" s="43"/>
    </row>
    <row r="83" spans="2:9" x14ac:dyDescent="0.25">
      <c r="B83" s="44" t="s">
        <v>46</v>
      </c>
      <c r="C83" s="45"/>
      <c r="D83" s="46"/>
      <c r="E83" s="47"/>
      <c r="F83" s="47"/>
      <c r="G83" s="47"/>
      <c r="H83" s="47"/>
      <c r="I83" s="47"/>
    </row>
    <row r="84" spans="2:9" x14ac:dyDescent="0.25">
      <c r="B84" s="44" t="s">
        <v>47</v>
      </c>
      <c r="C84" s="45"/>
      <c r="D84" s="46"/>
      <c r="E84" s="47"/>
      <c r="F84" s="47"/>
      <c r="G84" s="47"/>
      <c r="H84" s="47"/>
      <c r="I84" s="47"/>
    </row>
    <row r="85" spans="2:9" x14ac:dyDescent="0.25">
      <c r="B85" s="44" t="s">
        <v>48</v>
      </c>
      <c r="C85" s="45"/>
      <c r="D85" s="46"/>
      <c r="E85" s="47"/>
      <c r="F85" s="47"/>
      <c r="G85" s="47"/>
      <c r="H85" s="47"/>
      <c r="I85" s="47"/>
    </row>
    <row r="86" spans="2:9" x14ac:dyDescent="0.25">
      <c r="B86" s="23"/>
      <c r="C86" s="24"/>
      <c r="D86" s="24"/>
      <c r="E86" s="24"/>
      <c r="F86" s="24"/>
      <c r="G86" s="24"/>
      <c r="H86" s="24"/>
      <c r="I86" s="25"/>
    </row>
    <row r="87" spans="2:9" x14ac:dyDescent="0.25">
      <c r="B87" s="48" t="s">
        <v>59</v>
      </c>
      <c r="C87" s="49"/>
      <c r="D87" s="50"/>
      <c r="E87" s="54"/>
      <c r="F87" s="54"/>
      <c r="G87" s="54"/>
      <c r="H87" s="54"/>
      <c r="I87" s="54"/>
    </row>
    <row r="88" spans="2:9" x14ac:dyDescent="0.25">
      <c r="B88" s="48" t="s">
        <v>60</v>
      </c>
      <c r="C88" s="49"/>
      <c r="D88" s="50"/>
      <c r="E88" s="54"/>
      <c r="F88" s="54"/>
      <c r="G88" s="54"/>
      <c r="H88" s="54"/>
      <c r="I88" s="54"/>
    </row>
    <row r="89" spans="2:9" x14ac:dyDescent="0.25">
      <c r="B89" s="23"/>
      <c r="C89" s="24"/>
      <c r="D89" s="24"/>
      <c r="E89" s="24"/>
      <c r="F89" s="24"/>
      <c r="G89" s="24"/>
      <c r="H89" s="24"/>
      <c r="I89" s="25"/>
    </row>
    <row r="90" spans="2:9" x14ac:dyDescent="0.25">
      <c r="B90" s="48" t="s">
        <v>61</v>
      </c>
      <c r="C90" s="49"/>
      <c r="D90" s="49"/>
      <c r="E90" s="49"/>
      <c r="F90" s="49"/>
      <c r="G90" s="49"/>
      <c r="H90" s="49"/>
      <c r="I90" s="50"/>
    </row>
    <row r="91" spans="2:9" x14ac:dyDescent="0.25">
      <c r="B91" s="51" t="s">
        <v>46</v>
      </c>
      <c r="C91" s="52"/>
      <c r="D91" s="53"/>
      <c r="E91" s="54"/>
      <c r="F91" s="54"/>
      <c r="G91" s="54"/>
      <c r="H91" s="54"/>
      <c r="I91" s="54"/>
    </row>
    <row r="92" spans="2:9" x14ac:dyDescent="0.25">
      <c r="B92" s="51" t="s">
        <v>47</v>
      </c>
      <c r="C92" s="52"/>
      <c r="D92" s="53"/>
      <c r="E92" s="54"/>
      <c r="F92" s="54"/>
      <c r="G92" s="54"/>
      <c r="H92" s="54"/>
      <c r="I92" s="54"/>
    </row>
    <row r="93" spans="2:9" x14ac:dyDescent="0.25">
      <c r="B93" s="51" t="s">
        <v>48</v>
      </c>
      <c r="C93" s="52"/>
      <c r="D93" s="53"/>
      <c r="E93" s="54"/>
      <c r="F93" s="54"/>
      <c r="G93" s="54"/>
      <c r="H93" s="54"/>
      <c r="I93" s="54"/>
    </row>
    <row r="94" spans="2:9" x14ac:dyDescent="0.25">
      <c r="B94" s="23"/>
      <c r="C94" s="24"/>
      <c r="D94" s="24"/>
      <c r="E94" s="24"/>
      <c r="F94" s="24"/>
      <c r="G94" s="24"/>
      <c r="H94" s="24"/>
      <c r="I94" s="25"/>
    </row>
    <row r="95" spans="2:9" x14ac:dyDescent="0.25">
      <c r="B95" s="55" t="s">
        <v>62</v>
      </c>
      <c r="C95" s="56"/>
      <c r="D95" s="56"/>
      <c r="E95" s="56"/>
      <c r="F95" s="56"/>
      <c r="G95" s="56"/>
      <c r="H95" s="56"/>
      <c r="I95" s="57"/>
    </row>
    <row r="96" spans="2:9" x14ac:dyDescent="0.25">
      <c r="B96" s="58" t="s">
        <v>46</v>
      </c>
      <c r="C96" s="59"/>
      <c r="D96" s="60"/>
      <c r="E96" s="61"/>
      <c r="F96" s="61"/>
      <c r="G96" s="61"/>
      <c r="H96" s="61"/>
      <c r="I96" s="61"/>
    </row>
    <row r="97" spans="2:9" x14ac:dyDescent="0.25">
      <c r="B97" s="58" t="s">
        <v>47</v>
      </c>
      <c r="C97" s="59"/>
      <c r="D97" s="60"/>
      <c r="E97" s="61"/>
      <c r="F97" s="61"/>
      <c r="G97" s="61"/>
      <c r="H97" s="61"/>
      <c r="I97" s="61"/>
    </row>
    <row r="98" spans="2:9" x14ac:dyDescent="0.25">
      <c r="B98" s="58" t="s">
        <v>48</v>
      </c>
      <c r="C98" s="59"/>
      <c r="D98" s="60"/>
      <c r="E98" s="61"/>
      <c r="F98" s="61"/>
      <c r="G98" s="61"/>
      <c r="H98" s="61"/>
      <c r="I98" s="61"/>
    </row>
    <row r="99" spans="2:9" x14ac:dyDescent="0.25">
      <c r="B99" s="23"/>
      <c r="C99" s="24"/>
      <c r="D99" s="24"/>
      <c r="E99" s="24"/>
      <c r="F99" s="24"/>
      <c r="G99" s="24"/>
      <c r="H99" s="24"/>
      <c r="I99" s="25"/>
    </row>
    <row r="100" spans="2:9" x14ac:dyDescent="0.25">
      <c r="B100" s="62" t="s">
        <v>63</v>
      </c>
      <c r="C100" s="63"/>
      <c r="D100" s="63"/>
      <c r="E100" s="63"/>
      <c r="F100" s="63"/>
      <c r="G100" s="63"/>
      <c r="H100" s="63"/>
      <c r="I100" s="64"/>
    </row>
    <row r="101" spans="2:9" x14ac:dyDescent="0.25">
      <c r="B101" s="65" t="s">
        <v>46</v>
      </c>
      <c r="C101" s="66"/>
      <c r="D101" s="67"/>
      <c r="E101" s="68"/>
      <c r="F101" s="68"/>
      <c r="G101" s="68"/>
      <c r="H101" s="68"/>
      <c r="I101" s="68"/>
    </row>
    <row r="102" spans="2:9" x14ac:dyDescent="0.25">
      <c r="B102" s="65" t="s">
        <v>47</v>
      </c>
      <c r="C102" s="66"/>
      <c r="D102" s="67"/>
      <c r="E102" s="68"/>
      <c r="F102" s="68"/>
      <c r="G102" s="68"/>
      <c r="H102" s="68"/>
      <c r="I102" s="68"/>
    </row>
    <row r="103" spans="2:9" x14ac:dyDescent="0.25">
      <c r="B103" s="65" t="s">
        <v>48</v>
      </c>
      <c r="C103" s="66"/>
      <c r="D103" s="67"/>
      <c r="E103" s="68"/>
      <c r="F103" s="68"/>
      <c r="G103" s="68"/>
      <c r="H103" s="68"/>
      <c r="I103" s="68"/>
    </row>
    <row r="104" spans="2:9" x14ac:dyDescent="0.25">
      <c r="B104" s="23"/>
      <c r="C104" s="24"/>
      <c r="D104" s="24"/>
      <c r="E104" s="24"/>
      <c r="F104" s="24"/>
      <c r="G104" s="24"/>
      <c r="H104" s="24"/>
      <c r="I104" s="25"/>
    </row>
    <row r="105" spans="2:9" x14ac:dyDescent="0.25">
      <c r="B105" s="69" t="s">
        <v>64</v>
      </c>
      <c r="C105" s="70"/>
      <c r="D105" s="70"/>
      <c r="E105" s="70"/>
      <c r="F105" s="70"/>
      <c r="G105" s="70"/>
      <c r="H105" s="70"/>
      <c r="I105" s="71"/>
    </row>
    <row r="106" spans="2:9" x14ac:dyDescent="0.25">
      <c r="B106" s="72" t="s">
        <v>46</v>
      </c>
      <c r="C106" s="73"/>
      <c r="D106" s="74"/>
      <c r="E106" s="75"/>
      <c r="F106" s="75"/>
      <c r="G106" s="75"/>
      <c r="H106" s="75"/>
      <c r="I106" s="75"/>
    </row>
    <row r="107" spans="2:9" x14ac:dyDescent="0.25">
      <c r="B107" s="72" t="s">
        <v>47</v>
      </c>
      <c r="C107" s="73"/>
      <c r="D107" s="74"/>
      <c r="E107" s="75"/>
      <c r="F107" s="75"/>
      <c r="G107" s="75"/>
      <c r="H107" s="75"/>
      <c r="I107" s="75"/>
    </row>
    <row r="108" spans="2:9" x14ac:dyDescent="0.25">
      <c r="B108" s="72" t="s">
        <v>48</v>
      </c>
      <c r="C108" s="73"/>
      <c r="D108" s="74"/>
      <c r="E108" s="75"/>
      <c r="F108" s="75"/>
      <c r="G108" s="75"/>
      <c r="H108" s="75"/>
      <c r="I108" s="75"/>
    </row>
    <row r="109" spans="2:9" x14ac:dyDescent="0.25">
      <c r="B109" s="23"/>
      <c r="C109" s="24"/>
      <c r="D109" s="24"/>
      <c r="E109" s="24"/>
      <c r="F109" s="24"/>
      <c r="G109" s="24"/>
      <c r="H109" s="24"/>
      <c r="I109" s="25"/>
    </row>
    <row r="110" spans="2:9" x14ac:dyDescent="0.25">
      <c r="B110" s="69" t="s">
        <v>65</v>
      </c>
      <c r="C110" s="70"/>
      <c r="D110" s="70"/>
      <c r="E110" s="70"/>
      <c r="F110" s="70"/>
      <c r="G110" s="70"/>
      <c r="H110" s="70"/>
      <c r="I110" s="71"/>
    </row>
    <row r="111" spans="2:9" x14ac:dyDescent="0.25">
      <c r="B111" s="72" t="s">
        <v>46</v>
      </c>
      <c r="C111" s="73"/>
      <c r="D111" s="74"/>
      <c r="E111" s="75"/>
      <c r="F111" s="75"/>
      <c r="G111" s="75"/>
      <c r="H111" s="75"/>
      <c r="I111" s="75"/>
    </row>
    <row r="112" spans="2:9" x14ac:dyDescent="0.25">
      <c r="B112" s="72" t="s">
        <v>47</v>
      </c>
      <c r="C112" s="73"/>
      <c r="D112" s="74"/>
      <c r="E112" s="75"/>
      <c r="F112" s="75"/>
      <c r="G112" s="75"/>
      <c r="H112" s="75"/>
      <c r="I112" s="75"/>
    </row>
    <row r="113" spans="2:9" x14ac:dyDescent="0.25">
      <c r="B113" s="72" t="s">
        <v>48</v>
      </c>
      <c r="C113" s="73"/>
      <c r="D113" s="74"/>
      <c r="E113" s="75"/>
      <c r="F113" s="75"/>
      <c r="G113" s="75"/>
      <c r="H113" s="75"/>
      <c r="I113" s="75"/>
    </row>
  </sheetData>
  <mergeCells count="92">
    <mergeCell ref="B113:D113"/>
    <mergeCell ref="B81:D81"/>
    <mergeCell ref="B108:D108"/>
    <mergeCell ref="B109:I109"/>
    <mergeCell ref="B110:I110"/>
    <mergeCell ref="B111:D111"/>
    <mergeCell ref="B112:D112"/>
    <mergeCell ref="B103:D103"/>
    <mergeCell ref="B104:I104"/>
    <mergeCell ref="B105:I105"/>
    <mergeCell ref="B106:D106"/>
    <mergeCell ref="B107:D107"/>
    <mergeCell ref="B98:D98"/>
    <mergeCell ref="B99:I99"/>
    <mergeCell ref="B100:I100"/>
    <mergeCell ref="B101:D101"/>
    <mergeCell ref="B102:D102"/>
    <mergeCell ref="B93:D93"/>
    <mergeCell ref="B94:I94"/>
    <mergeCell ref="B95:I95"/>
    <mergeCell ref="B96:D96"/>
    <mergeCell ref="B97:D97"/>
    <mergeCell ref="B88:D88"/>
    <mergeCell ref="B89:I89"/>
    <mergeCell ref="B90:I90"/>
    <mergeCell ref="B91:D91"/>
    <mergeCell ref="B92:D92"/>
    <mergeCell ref="B83:D83"/>
    <mergeCell ref="B84:D84"/>
    <mergeCell ref="B85:D85"/>
    <mergeCell ref="B86:I86"/>
    <mergeCell ref="B87:D87"/>
    <mergeCell ref="B73:D73"/>
    <mergeCell ref="B74:D74"/>
    <mergeCell ref="B75:D75"/>
    <mergeCell ref="B76:D76"/>
    <mergeCell ref="B82:I82"/>
    <mergeCell ref="B68:D68"/>
    <mergeCell ref="B69:D69"/>
    <mergeCell ref="B70:D70"/>
    <mergeCell ref="B71:D71"/>
    <mergeCell ref="B72:D72"/>
    <mergeCell ref="B64:D64"/>
    <mergeCell ref="B54:D54"/>
    <mergeCell ref="B55:D55"/>
    <mergeCell ref="B56:D56"/>
    <mergeCell ref="B63:D63"/>
    <mergeCell ref="B62:D62"/>
    <mergeCell ref="B61:D61"/>
    <mergeCell ref="B57:D57"/>
    <mergeCell ref="B49:H49"/>
    <mergeCell ref="B53:D53"/>
    <mergeCell ref="B29:F29"/>
    <mergeCell ref="B30:F30"/>
    <mergeCell ref="B31:F31"/>
    <mergeCell ref="B14:F14"/>
    <mergeCell ref="B15:F15"/>
    <mergeCell ref="B16:F16"/>
    <mergeCell ref="B17:F17"/>
    <mergeCell ref="B28:F28"/>
    <mergeCell ref="B10:F10"/>
    <mergeCell ref="B11:F11"/>
    <mergeCell ref="B3:F3"/>
    <mergeCell ref="B4:K4"/>
    <mergeCell ref="B32:F32"/>
    <mergeCell ref="B5:F5"/>
    <mergeCell ref="B6:F6"/>
    <mergeCell ref="B7:F7"/>
    <mergeCell ref="B8:K8"/>
    <mergeCell ref="B9:K9"/>
    <mergeCell ref="B18:F18"/>
    <mergeCell ref="B19:F19"/>
    <mergeCell ref="B20:K20"/>
    <mergeCell ref="B21:F21"/>
    <mergeCell ref="B12:K12"/>
    <mergeCell ref="B13:K13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8:F48"/>
    <mergeCell ref="B43:F43"/>
    <mergeCell ref="B44:F44"/>
    <mergeCell ref="B45:F45"/>
    <mergeCell ref="B46:F46"/>
    <mergeCell ref="B47:F47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 gonzalez martinez</cp:lastModifiedBy>
  <dcterms:created xsi:type="dcterms:W3CDTF">2020-03-01T00:33:54Z</dcterms:created>
  <dcterms:modified xsi:type="dcterms:W3CDTF">2020-03-13T15:44:45Z</dcterms:modified>
</cp:coreProperties>
</file>